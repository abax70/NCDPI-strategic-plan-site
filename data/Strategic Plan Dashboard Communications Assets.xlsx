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pincgov-my.sharepoint.com/personal/andy_baxter_dpi_nc_gov/Documents/Projects/NCDPI-strategic-plan-site/data/"/>
    </mc:Choice>
  </mc:AlternateContent>
  <xr:revisionPtr revIDLastSave="1" documentId="11_3C4560DB38E65A38166180CDD53956ECFB97CC4D" xr6:coauthVersionLast="47" xr6:coauthVersionMax="47" xr10:uidLastSave="{3D4ECB27-F5BA-45C8-A54C-AABF3E90B5CD}"/>
  <bookViews>
    <workbookView xWindow="29760" yWindow="960" windowWidth="28800" windowHeight="15285" activeTab="1" xr2:uid="{00000000-000D-0000-FFFF-FFFF00000000}"/>
  </bookViews>
  <sheets>
    <sheet name="_Overview" sheetId="1" r:id="rId1"/>
    <sheet name="Assets" sheetId="2" r:id="rId2"/>
    <sheet name="_FocusAreas" sheetId="3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6" i="3" l="1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" i="3"/>
</calcChain>
</file>

<file path=xl/sharedStrings.xml><?xml version="1.0" encoding="utf-8"?>
<sst xmlns="http://schemas.openxmlformats.org/spreadsheetml/2006/main" count="92" uniqueCount="89">
  <si>
    <t>Purpose</t>
  </si>
  <si>
    <t>This sheet is designed to catalog communications assets for the strategic plan dashboard.</t>
  </si>
  <si>
    <t>How to Use</t>
  </si>
  <si>
    <t>Go to the Assets tab.</t>
  </si>
  <si>
    <t>Every asset needs to be tied to a focus area.  Select the focus area in Column A. If the asset belongs to more than one focus area, just duplicate the row and Column A to the additional focus area.</t>
  </si>
  <si>
    <t>Use Column B to put the asset title, e.g., the title to a blog</t>
  </si>
  <si>
    <t>Use Column C for the url (link) to the asset</t>
  </si>
  <si>
    <t>Use Column D for a publish date (it doesn not have to be the exact date; we'll use this to sort assets from most recent to earliest, etc.)</t>
  </si>
  <si>
    <t>Use Column E to select the county where the story happens, if relevant.  We are using counties so that we can be inclusive of charters. If it doesn't apply to a specific county then just select "State"</t>
  </si>
  <si>
    <t>FocusAreaName</t>
  </si>
  <si>
    <t>StoryTitle</t>
  </si>
  <si>
    <t>StoryURL</t>
  </si>
  <si>
    <t>StoryPublishDate</t>
  </si>
  <si>
    <t>StoryCounty</t>
  </si>
  <si>
    <t>Achieving Educational Excellence</t>
  </si>
  <si>
    <t>https://www.dpi.nc.gov/blog/2025/08/20/achieving-educational-excellence</t>
  </si>
  <si>
    <t>Producing Global Leaders Across Public Schools</t>
  </si>
  <si>
    <t>https://www.dpi.nc.gov/blog/2025/08/26/producing-global-leaders-across-public-schools</t>
  </si>
  <si>
    <t>Chatham, Onslow</t>
  </si>
  <si>
    <t>NC’s Teacher of the Year is an AVID educator, advocate for rural schools and a Swiftie</t>
  </si>
  <si>
    <t>https://www.dpi.nc.gov/blog/2025/08/28/ncs-teacher-year-avid-educator-advocate-rural-schools-and-swiftie</t>
  </si>
  <si>
    <t>Pitt</t>
  </si>
  <si>
    <t>How NCDPI’s Office of Research &amp; Promising Practices Turns Evidence into Action</t>
  </si>
  <si>
    <t>https://www.dpi.nc.gov/blog/2025/09/17/how-ncdpis-office-research-promising-practices-turns-evidence-action</t>
  </si>
  <si>
    <t>NCDPI Marks Attendance Awareness Month with Plan to Help Schools Reduce Chronic Absenteeism</t>
  </si>
  <si>
    <t>https://www.dpi.nc.gov/blog/2025/09/23/ncdpi-marks-attendance-awareness-month-plan-help-schools-reduce-chronic-absenteeism</t>
  </si>
  <si>
    <t>One Year After Helene: Resilience, Step by Step</t>
  </si>
  <si>
    <t>https://www.dpi.nc.gov/blog/2025/09/30/one-year-after-helene-resilience-step-step</t>
  </si>
  <si>
    <t>Haywood</t>
  </si>
  <si>
    <t>One Year After Helene: From Checkmarks to Tomorrows</t>
  </si>
  <si>
    <t>https://www.dpi.nc.gov/blog/2025/10/02/one-year-after-helene-checkmarks-tomorrows</t>
  </si>
  <si>
    <t>Buncombe</t>
  </si>
  <si>
    <t>Meet North Carolina’s Principal of the Year</t>
  </si>
  <si>
    <t>https://www.dpi.nc.gov/blog/2025/10/08/meet-north-carolinas-principal-year</t>
  </si>
  <si>
    <t>Orange</t>
  </si>
  <si>
    <t>Celebrating CTE and Spotlighting Innovation in the Southeast</t>
  </si>
  <si>
    <t>https://www.dpi.nc.gov/blog/2025/10/14/celebrating-cte-and-spotlighting-innovation-southeast</t>
  </si>
  <si>
    <t>New Hanover, Carteret</t>
  </si>
  <si>
    <t>This College Application Week, Direct Admission is Waiting for About 70,000 Students</t>
  </si>
  <si>
    <t>https://www.dpi.nc.gov/blog/2025/10/16/college-application-week-direct-admission-waiting-about-70000-students</t>
  </si>
  <si>
    <t>Supporting Agriculture, Nutrition and Health</t>
  </si>
  <si>
    <t>https://www.dpi.nc.gov/blog/2025/10/28/supporting-agriculture-nutrition-and-health</t>
  </si>
  <si>
    <t>Exploring Endless Opportunities – and a Zoo School – in the Piedmont Triad</t>
  </si>
  <si>
    <t>https://www.dpi.nc.gov/blog/2025/10/30/exploring-endless-opportunities-and-zoo-school-piedmont-triad</t>
  </si>
  <si>
    <t>Davidson, Alamance-Burlington, Guilford</t>
  </si>
  <si>
    <t>Meet the High School Senior Helping Shape NC’s Education Policy</t>
  </si>
  <si>
    <t>https://www.dpi.nc.gov/blog/2025/11/04/meet-high-school-senior-helping-shape-ncs-education-policy</t>
  </si>
  <si>
    <t>Wake</t>
  </si>
  <si>
    <t>BCS Parent University Helps Families Learn the ABCs of School Operations</t>
  </si>
  <si>
    <t>https://www.dpi.nc.gov/blog/2025/11/06/bcs-parent-university-helps-families-learn-abcs-school-operations</t>
  </si>
  <si>
    <t>The Northeast: Where Our Roots Run Deep</t>
  </si>
  <si>
    <t>https://www.dpi.nc.gov/blog/2025/11/13/northeast-where-our-roots-run-deep</t>
  </si>
  <si>
    <t>Pitt, Hertford, Perquimans</t>
  </si>
  <si>
    <t>Empowering Futures: Celebrating Career Development Month and North Carolina’s Career Development Coordinator Day</t>
  </si>
  <si>
    <r>
      <rPr>
        <u/>
        <sz val="10"/>
        <color rgb="FF1155CC"/>
        <rFont val="Arial"/>
      </rPr>
      <t>https://www.dpi.nc.gov/blog/2025/11/19/empowering-futures-celebrating-career-development-month-and-north-carolinas-career-development</t>
    </r>
    <r>
      <rPr>
        <sz val="10"/>
        <color rgb="FF000000"/>
        <rFont val="Arial"/>
        <scheme val="minor"/>
      </rPr>
      <t>t</t>
    </r>
  </si>
  <si>
    <t>From Early College to Legal Intern</t>
  </si>
  <si>
    <t>https://www.dpi.nc.gov/blog/2025/11/20/early-college-legal-intern</t>
  </si>
  <si>
    <t>Nash</t>
  </si>
  <si>
    <t>Meet the State Superintendent’s Student Advisory Council</t>
  </si>
  <si>
    <t>https://www.dpi.nc.gov/blog/2025/11/24/meet-state-superintendents-student-advisory-council</t>
  </si>
  <si>
    <t>Student Media Spotlight: The Green Hope Falcon Soars to Great Heights</t>
  </si>
  <si>
    <t>https://www.dpi.nc.gov/blog/2025/12/04/student-media-spotlight-green-hope-falcon-soars-great-heights</t>
  </si>
  <si>
    <t>Commitment and Culture Shine in the North Central Region</t>
  </si>
  <si>
    <t>https://www.dpi.nc.gov/blog/2025/12/09/commitment-and-culture-shine-north-central-region</t>
  </si>
  <si>
    <t>Edgecombe, Orange</t>
  </si>
  <si>
    <t>Sandhills Shines Through the Rain</t>
  </si>
  <si>
    <t>https://www.dpi.nc.gov/blog/2025/12/11/sandhills-shines-through-rain</t>
  </si>
  <si>
    <t>Columbus, Scotland, Richmond, Robeson</t>
  </si>
  <si>
    <t>Future Jr. Chefs: Five High School Teams Set to Compete in 2026 Competition</t>
  </si>
  <si>
    <t>https://www.dpi.nc.gov/blog/2025/12/16/future-jr-chefs-five-high-school-teams-set-compete-2026-competition</t>
  </si>
  <si>
    <t>Hands-On Bike Safety Brings Enka High and Enka Intermediate Students Together</t>
  </si>
  <si>
    <t>https://www.dpi.nc.gov/blog/2025/12/17/hands-bike-safety-brings-enka-high-and-enka-intermediate-students-together</t>
  </si>
  <si>
    <t>Symbols of Resilience in the Northwest</t>
  </si>
  <si>
    <t>https://www.dpi.nc.gov/blog/2025/12/19/symbols-resilience-northwest</t>
  </si>
  <si>
    <t xml:space="preserve">Caldwell, Watauga, Mitchell </t>
  </si>
  <si>
    <t>2025 Points of Pride</t>
  </si>
  <si>
    <t>https://www.dpi.nc.gov/blog/2025/12/23/2025-points-pride</t>
  </si>
  <si>
    <t>2026 New Year's Resolutions</t>
  </si>
  <si>
    <t>https://www.dpi.nc.gov/blog/2025/12/31/2026-new-years-resolutions</t>
  </si>
  <si>
    <t>Celebrating Award-Winning School and Summer Nutrition Programs</t>
  </si>
  <si>
    <t>https://www.dpi.nc.gov/blog/2026/01/08/celebrating-award-winning-school-and-summer-nutrition-programs</t>
  </si>
  <si>
    <t>From Classroom to Community: A National History Teacher’s Journey</t>
  </si>
  <si>
    <t>https://www.dpi.nc.gov/blog/2026/01/14/classroom-community-national-history-teachers-journey</t>
  </si>
  <si>
    <t>Rockingham</t>
  </si>
  <si>
    <t>From Bus Driver to EC Teacher</t>
  </si>
  <si>
    <t>https://www.dpi.nc.gov/blog/2026/01/20/bus-driver-ec-teacher</t>
  </si>
  <si>
    <t>Union</t>
  </si>
  <si>
    <t>Find Your Fit, Build Your Future in NC Public Schools</t>
  </si>
  <si>
    <t>https://www.dpi.nc.gov/blog/2026/01/27/find-your-fit-build-your-future-nc-public-schools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</si>
</sst>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4" fontId="2" fillId="0" borderId="0" xfId="0" applyNumberFormat="1" applyFont="1"/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pi.nc.gov/blog/2025/10/08/meet-north-carolinas-principal-year" TargetMode="External"/><Relationship Id="rId13" Type="http://schemas.openxmlformats.org/officeDocument/2006/relationships/hyperlink" Target="https://www.dpi.nc.gov/blog/2025/11/04/meet-high-school-senior-helping-shape-ncs-education-policy" TargetMode="External"/><Relationship Id="rId18" Type="http://schemas.openxmlformats.org/officeDocument/2006/relationships/hyperlink" Target="https://www.dpi.nc.gov/blog/2025/11/24/meet-state-superintendents-student-advisory-council" TargetMode="External"/><Relationship Id="rId26" Type="http://schemas.openxmlformats.org/officeDocument/2006/relationships/hyperlink" Target="https://www.dpi.nc.gov/blog/2025/12/31/2026-new-years-resolutions" TargetMode="External"/><Relationship Id="rId3" Type="http://schemas.openxmlformats.org/officeDocument/2006/relationships/hyperlink" Target="https://www.dpi.nc.gov/blog/2025/08/28/ncs-teacher-year-avid-educator-advocate-rural-schools-and-swiftie" TargetMode="External"/><Relationship Id="rId21" Type="http://schemas.openxmlformats.org/officeDocument/2006/relationships/hyperlink" Target="https://www.dpi.nc.gov/blog/2025/12/11/sandhills-shines-through-rain" TargetMode="External"/><Relationship Id="rId7" Type="http://schemas.openxmlformats.org/officeDocument/2006/relationships/hyperlink" Target="https://www.dpi.nc.gov/blog/2025/10/02/one-year-after-helene-checkmarks-tomorrows" TargetMode="External"/><Relationship Id="rId12" Type="http://schemas.openxmlformats.org/officeDocument/2006/relationships/hyperlink" Target="https://www.dpi.nc.gov/blog/2025/10/30/exploring-endless-opportunities-and-zoo-school-piedmont-triad" TargetMode="External"/><Relationship Id="rId17" Type="http://schemas.openxmlformats.org/officeDocument/2006/relationships/hyperlink" Target="https://www.dpi.nc.gov/blog/2025/11/20/early-college-legal-intern" TargetMode="External"/><Relationship Id="rId25" Type="http://schemas.openxmlformats.org/officeDocument/2006/relationships/hyperlink" Target="https://www.dpi.nc.gov/blog/2025/12/23/2025-points-pride" TargetMode="External"/><Relationship Id="rId2" Type="http://schemas.openxmlformats.org/officeDocument/2006/relationships/hyperlink" Target="https://www.dpi.nc.gov/blog/2025/08/26/producing-global-leaders-across-public-schools" TargetMode="External"/><Relationship Id="rId16" Type="http://schemas.openxmlformats.org/officeDocument/2006/relationships/hyperlink" Target="https://www.dpi.nc.gov/blog/2025/11/19/empowering-futures-celebrating-career-development-month-and-north-carolinas-career-development" TargetMode="External"/><Relationship Id="rId20" Type="http://schemas.openxmlformats.org/officeDocument/2006/relationships/hyperlink" Target="https://www.dpi.nc.gov/blog/2025/12/09/commitment-and-culture-shine-north-central-region" TargetMode="External"/><Relationship Id="rId29" Type="http://schemas.openxmlformats.org/officeDocument/2006/relationships/hyperlink" Target="https://www.dpi.nc.gov/blog/2026/01/20/bus-driver-ec-teacher" TargetMode="External"/><Relationship Id="rId1" Type="http://schemas.openxmlformats.org/officeDocument/2006/relationships/hyperlink" Target="https://www.dpi.nc.gov/blog/2025/08/20/achieving-educational-excellence" TargetMode="External"/><Relationship Id="rId6" Type="http://schemas.openxmlformats.org/officeDocument/2006/relationships/hyperlink" Target="https://www.dpi.nc.gov/blog/2025/09/30/one-year-after-helene-resilience-step-step" TargetMode="External"/><Relationship Id="rId11" Type="http://schemas.openxmlformats.org/officeDocument/2006/relationships/hyperlink" Target="https://www.dpi.nc.gov/blog/2025/10/28/supporting-agriculture-nutrition-and-health" TargetMode="External"/><Relationship Id="rId24" Type="http://schemas.openxmlformats.org/officeDocument/2006/relationships/hyperlink" Target="https://www.dpi.nc.gov/blog/2025/12/19/symbols-resilience-northwest" TargetMode="External"/><Relationship Id="rId5" Type="http://schemas.openxmlformats.org/officeDocument/2006/relationships/hyperlink" Target="https://www.dpi.nc.gov/blog/2025/09/23/ncdpi-marks-attendance-awareness-month-plan-help-schools-reduce-chronic-absenteeism" TargetMode="External"/><Relationship Id="rId15" Type="http://schemas.openxmlformats.org/officeDocument/2006/relationships/hyperlink" Target="https://www.dpi.nc.gov/blog/2025/11/13/northeast-where-our-roots-run-deep" TargetMode="External"/><Relationship Id="rId23" Type="http://schemas.openxmlformats.org/officeDocument/2006/relationships/hyperlink" Target="https://www.dpi.nc.gov/blog/2025/12/17/hands-bike-safety-brings-enka-high-and-enka-intermediate-students-together" TargetMode="External"/><Relationship Id="rId28" Type="http://schemas.openxmlformats.org/officeDocument/2006/relationships/hyperlink" Target="https://www.dpi.nc.gov/blog/2026/01/14/classroom-community-national-history-teachers-journey" TargetMode="External"/><Relationship Id="rId10" Type="http://schemas.openxmlformats.org/officeDocument/2006/relationships/hyperlink" Target="https://www.dpi.nc.gov/blog/2025/10/16/college-application-week-direct-admission-waiting-about-70000-students" TargetMode="External"/><Relationship Id="rId19" Type="http://schemas.openxmlformats.org/officeDocument/2006/relationships/hyperlink" Target="https://www.dpi.nc.gov/blog/2025/12/04/student-media-spotlight-green-hope-falcon-soars-great-heights" TargetMode="External"/><Relationship Id="rId4" Type="http://schemas.openxmlformats.org/officeDocument/2006/relationships/hyperlink" Target="https://www.dpi.nc.gov/blog/2025/09/17/how-ncdpis-office-research-promising-practices-turns-evidence-action" TargetMode="External"/><Relationship Id="rId9" Type="http://schemas.openxmlformats.org/officeDocument/2006/relationships/hyperlink" Target="https://www.dpi.nc.gov/blog/2025/10/14/celebrating-cte-and-spotlighting-innovation-southeast" TargetMode="External"/><Relationship Id="rId14" Type="http://schemas.openxmlformats.org/officeDocument/2006/relationships/hyperlink" Target="https://www.dpi.nc.gov/blog/2025/11/06/bcs-parent-university-helps-families-learn-abcs-school-operations" TargetMode="External"/><Relationship Id="rId22" Type="http://schemas.openxmlformats.org/officeDocument/2006/relationships/hyperlink" Target="https://www.dpi.nc.gov/blog/2025/12/16/future-jr-chefs-five-high-school-teams-set-compete-2026-competition" TargetMode="External"/><Relationship Id="rId27" Type="http://schemas.openxmlformats.org/officeDocument/2006/relationships/hyperlink" Target="https://www.dpi.nc.gov/blog/2026/01/08/celebrating-award-winning-school-and-summer-nutrition-programs" TargetMode="External"/><Relationship Id="rId30" Type="http://schemas.openxmlformats.org/officeDocument/2006/relationships/hyperlink" Target="https://www.dpi.nc.gov/blog/2026/01/27/find-your-fit-build-your-future-nc-public-schoo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workbookViewId="0"/>
  </sheetViews>
  <sheetFormatPr defaultColWidth="12.6640625" defaultRowHeight="15.75" customHeight="1" x14ac:dyDescent="0.25"/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1" t="s">
        <v>2</v>
      </c>
    </row>
    <row r="5" spans="1:1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301"/>
  <sheetViews>
    <sheetView tabSelected="1" workbookViewId="0">
      <selection activeCell="B20" sqref="B20"/>
    </sheetView>
  </sheetViews>
  <sheetFormatPr defaultColWidth="12.6640625" defaultRowHeight="15.75" customHeight="1" x14ac:dyDescent="0.25"/>
  <cols>
    <col min="1" max="1" width="18.44140625" customWidth="1"/>
    <col min="2" max="2" width="101.21875" bestFit="1" customWidth="1"/>
    <col min="3" max="3" width="56" customWidth="1"/>
    <col min="4" max="4" width="18.88671875" customWidth="1"/>
    <col min="5" max="5" width="24.77734375" customWidth="1"/>
  </cols>
  <sheetData>
    <row r="1" spans="1:24" x14ac:dyDescent="0.25">
      <c r="A1" s="1" t="s">
        <v>9</v>
      </c>
      <c r="B1" s="1" t="s">
        <v>10</v>
      </c>
      <c r="C1" s="3" t="s">
        <v>11</v>
      </c>
      <c r="D1" s="1" t="s">
        <v>12</v>
      </c>
      <c r="E1" s="1" t="s">
        <v>13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2"/>
      <c r="B2" s="4" t="s">
        <v>14</v>
      </c>
      <c r="C2" s="5" t="s">
        <v>15</v>
      </c>
      <c r="D2" s="6">
        <v>45889</v>
      </c>
    </row>
    <row r="3" spans="1:24" x14ac:dyDescent="0.25">
      <c r="A3" s="2"/>
      <c r="B3" s="4" t="s">
        <v>16</v>
      </c>
      <c r="C3" s="5" t="s">
        <v>17</v>
      </c>
      <c r="D3" s="6">
        <v>45895</v>
      </c>
      <c r="E3" s="2" t="s">
        <v>18</v>
      </c>
    </row>
    <row r="4" spans="1:24" x14ac:dyDescent="0.25">
      <c r="A4" s="2"/>
      <c r="B4" s="4" t="s">
        <v>19</v>
      </c>
      <c r="C4" s="5" t="s">
        <v>20</v>
      </c>
      <c r="D4" s="6">
        <v>45897</v>
      </c>
      <c r="E4" s="2" t="s">
        <v>21</v>
      </c>
    </row>
    <row r="5" spans="1:24" x14ac:dyDescent="0.25">
      <c r="A5" s="2"/>
      <c r="B5" s="4" t="s">
        <v>22</v>
      </c>
      <c r="C5" s="5" t="s">
        <v>23</v>
      </c>
      <c r="D5" s="6">
        <v>45917</v>
      </c>
    </row>
    <row r="6" spans="1:24" x14ac:dyDescent="0.25">
      <c r="A6" s="2"/>
      <c r="B6" s="4" t="s">
        <v>24</v>
      </c>
      <c r="C6" s="7" t="s">
        <v>25</v>
      </c>
      <c r="D6" s="6">
        <v>45923</v>
      </c>
    </row>
    <row r="7" spans="1:24" x14ac:dyDescent="0.25">
      <c r="A7" s="2"/>
      <c r="B7" s="4" t="s">
        <v>26</v>
      </c>
      <c r="C7" s="5" t="s">
        <v>27</v>
      </c>
      <c r="D7" s="6">
        <v>45930</v>
      </c>
      <c r="E7" s="2" t="s">
        <v>28</v>
      </c>
    </row>
    <row r="8" spans="1:24" x14ac:dyDescent="0.25">
      <c r="A8" s="2"/>
      <c r="B8" s="4" t="s">
        <v>29</v>
      </c>
      <c r="C8" s="5" t="s">
        <v>30</v>
      </c>
      <c r="D8" s="6">
        <v>45932</v>
      </c>
      <c r="E8" s="2" t="s">
        <v>31</v>
      </c>
    </row>
    <row r="9" spans="1:24" x14ac:dyDescent="0.25">
      <c r="A9" s="2"/>
      <c r="B9" s="4" t="s">
        <v>32</v>
      </c>
      <c r="C9" s="5" t="s">
        <v>33</v>
      </c>
      <c r="D9" s="6">
        <v>45938</v>
      </c>
      <c r="E9" s="2" t="s">
        <v>34</v>
      </c>
    </row>
    <row r="10" spans="1:24" x14ac:dyDescent="0.25">
      <c r="A10" s="2"/>
      <c r="B10" s="4" t="s">
        <v>35</v>
      </c>
      <c r="C10" s="7" t="s">
        <v>36</v>
      </c>
      <c r="D10" s="6">
        <v>45944</v>
      </c>
      <c r="E10" s="4" t="s">
        <v>37</v>
      </c>
    </row>
    <row r="11" spans="1:24" x14ac:dyDescent="0.25">
      <c r="A11" s="2"/>
      <c r="B11" s="4" t="s">
        <v>38</v>
      </c>
      <c r="C11" s="7" t="s">
        <v>39</v>
      </c>
      <c r="D11" s="6">
        <v>45946</v>
      </c>
    </row>
    <row r="12" spans="1:24" x14ac:dyDescent="0.25">
      <c r="A12" s="2"/>
      <c r="B12" s="4" t="s">
        <v>40</v>
      </c>
      <c r="C12" s="5" t="s">
        <v>41</v>
      </c>
      <c r="D12" s="6">
        <v>45958</v>
      </c>
    </row>
    <row r="13" spans="1:24" x14ac:dyDescent="0.25">
      <c r="A13" s="2"/>
      <c r="B13" s="4" t="s">
        <v>42</v>
      </c>
      <c r="C13" s="7" t="s">
        <v>43</v>
      </c>
      <c r="D13" s="6">
        <v>45960</v>
      </c>
      <c r="E13" s="4" t="s">
        <v>44</v>
      </c>
    </row>
    <row r="14" spans="1:24" x14ac:dyDescent="0.25">
      <c r="A14" s="2"/>
      <c r="B14" s="4" t="s">
        <v>45</v>
      </c>
      <c r="C14" s="5" t="s">
        <v>46</v>
      </c>
      <c r="D14" s="6">
        <v>45965</v>
      </c>
      <c r="E14" s="2" t="s">
        <v>47</v>
      </c>
    </row>
    <row r="15" spans="1:24" x14ac:dyDescent="0.25">
      <c r="A15" s="2"/>
      <c r="B15" s="4" t="s">
        <v>48</v>
      </c>
      <c r="C15" s="5" t="s">
        <v>49</v>
      </c>
      <c r="D15" s="6">
        <v>45967</v>
      </c>
      <c r="E15" s="2" t="s">
        <v>31</v>
      </c>
    </row>
    <row r="16" spans="1:24" x14ac:dyDescent="0.25">
      <c r="A16" s="2"/>
      <c r="B16" s="4" t="s">
        <v>50</v>
      </c>
      <c r="C16" s="7" t="s">
        <v>51</v>
      </c>
      <c r="D16" s="6">
        <v>45974</v>
      </c>
      <c r="E16" s="2" t="s">
        <v>52</v>
      </c>
    </row>
    <row r="17" spans="1:5" x14ac:dyDescent="0.25">
      <c r="A17" s="2"/>
      <c r="B17" s="4" t="s">
        <v>53</v>
      </c>
      <c r="C17" s="5" t="s">
        <v>54</v>
      </c>
      <c r="D17" s="6">
        <v>45980</v>
      </c>
    </row>
    <row r="18" spans="1:5" x14ac:dyDescent="0.25">
      <c r="A18" s="2"/>
      <c r="B18" s="4" t="s">
        <v>55</v>
      </c>
      <c r="C18" s="5" t="s">
        <v>56</v>
      </c>
      <c r="D18" s="6">
        <v>45981</v>
      </c>
      <c r="E18" s="2" t="s">
        <v>57</v>
      </c>
    </row>
    <row r="19" spans="1:5" x14ac:dyDescent="0.25">
      <c r="A19" s="2"/>
      <c r="B19" s="4" t="s">
        <v>58</v>
      </c>
      <c r="C19" s="5" t="s">
        <v>59</v>
      </c>
      <c r="D19" s="6">
        <v>45985</v>
      </c>
    </row>
    <row r="20" spans="1:5" x14ac:dyDescent="0.25">
      <c r="A20" s="2"/>
      <c r="B20" s="4" t="s">
        <v>60</v>
      </c>
      <c r="C20" s="5" t="s">
        <v>61</v>
      </c>
      <c r="D20" s="6">
        <v>45995</v>
      </c>
      <c r="E20" s="2" t="s">
        <v>47</v>
      </c>
    </row>
    <row r="21" spans="1:5" x14ac:dyDescent="0.25">
      <c r="A21" s="2"/>
      <c r="B21" s="4" t="s">
        <v>62</v>
      </c>
      <c r="C21" s="5" t="s">
        <v>63</v>
      </c>
      <c r="D21" s="6">
        <v>46000</v>
      </c>
      <c r="E21" s="4" t="s">
        <v>64</v>
      </c>
    </row>
    <row r="22" spans="1:5" x14ac:dyDescent="0.25">
      <c r="A22" s="2"/>
      <c r="B22" s="4" t="s">
        <v>65</v>
      </c>
      <c r="C22" s="5" t="s">
        <v>66</v>
      </c>
      <c r="D22" s="6">
        <v>46002</v>
      </c>
      <c r="E22" s="4" t="s">
        <v>67</v>
      </c>
    </row>
    <row r="23" spans="1:5" x14ac:dyDescent="0.25">
      <c r="A23" s="2"/>
      <c r="B23" s="4" t="s">
        <v>68</v>
      </c>
      <c r="C23" s="5" t="s">
        <v>69</v>
      </c>
      <c r="D23" s="6">
        <v>46007</v>
      </c>
      <c r="E23" s="4"/>
    </row>
    <row r="24" spans="1:5" x14ac:dyDescent="0.25">
      <c r="A24" s="2"/>
      <c r="B24" s="4" t="s">
        <v>70</v>
      </c>
      <c r="C24" s="7" t="s">
        <v>71</v>
      </c>
      <c r="D24" s="6">
        <v>46008</v>
      </c>
      <c r="E24" s="4" t="s">
        <v>31</v>
      </c>
    </row>
    <row r="25" spans="1:5" x14ac:dyDescent="0.25">
      <c r="A25" s="2"/>
      <c r="B25" s="4" t="s">
        <v>72</v>
      </c>
      <c r="C25" s="5" t="s">
        <v>73</v>
      </c>
      <c r="D25" s="6">
        <v>46010</v>
      </c>
      <c r="E25" s="4" t="s">
        <v>74</v>
      </c>
    </row>
    <row r="26" spans="1:5" x14ac:dyDescent="0.25">
      <c r="A26" s="2"/>
      <c r="B26" s="4" t="s">
        <v>75</v>
      </c>
      <c r="C26" s="5" t="s">
        <v>76</v>
      </c>
      <c r="D26" s="6">
        <v>46014</v>
      </c>
      <c r="E26" s="4"/>
    </row>
    <row r="27" spans="1:5" x14ac:dyDescent="0.25">
      <c r="A27" s="2"/>
      <c r="B27" s="4" t="s">
        <v>77</v>
      </c>
      <c r="C27" s="5" t="s">
        <v>78</v>
      </c>
      <c r="D27" s="6">
        <v>46022</v>
      </c>
      <c r="E27" s="4"/>
    </row>
    <row r="28" spans="1:5" x14ac:dyDescent="0.25">
      <c r="A28" s="2"/>
      <c r="B28" s="4" t="s">
        <v>79</v>
      </c>
      <c r="C28" s="5" t="s">
        <v>80</v>
      </c>
      <c r="D28" s="6">
        <v>46030</v>
      </c>
      <c r="E28" s="4"/>
    </row>
    <row r="29" spans="1:5" x14ac:dyDescent="0.25">
      <c r="A29" s="2"/>
      <c r="B29" s="4" t="s">
        <v>81</v>
      </c>
      <c r="C29" s="5" t="s">
        <v>82</v>
      </c>
      <c r="D29" s="6">
        <v>46036</v>
      </c>
      <c r="E29" s="4" t="s">
        <v>83</v>
      </c>
    </row>
    <row r="30" spans="1:5" x14ac:dyDescent="0.25">
      <c r="A30" s="2"/>
      <c r="B30" s="4" t="s">
        <v>84</v>
      </c>
      <c r="C30" s="5" t="s">
        <v>85</v>
      </c>
      <c r="D30" s="6">
        <v>46042</v>
      </c>
      <c r="E30" s="4" t="s">
        <v>86</v>
      </c>
    </row>
    <row r="31" spans="1:5" x14ac:dyDescent="0.25">
      <c r="A31" s="2"/>
      <c r="B31" s="4" t="s">
        <v>87</v>
      </c>
      <c r="C31" s="5" t="s">
        <v>88</v>
      </c>
      <c r="D31" s="6">
        <v>46049</v>
      </c>
      <c r="E31" s="4"/>
    </row>
    <row r="32" spans="1:5" x14ac:dyDescent="0.25">
      <c r="A32" s="2"/>
      <c r="B32" s="4"/>
      <c r="C32" s="4"/>
      <c r="D32" s="6"/>
      <c r="E32" s="4"/>
    </row>
    <row r="33" spans="1:5" x14ac:dyDescent="0.25">
      <c r="A33" s="2"/>
      <c r="B33" s="4"/>
      <c r="C33" s="2"/>
      <c r="D33" s="6"/>
      <c r="E33" s="4"/>
    </row>
    <row r="34" spans="1:5" x14ac:dyDescent="0.25">
      <c r="A34" s="2"/>
      <c r="B34" s="4"/>
      <c r="C34" s="2"/>
      <c r="D34" s="6"/>
      <c r="E34" s="4"/>
    </row>
    <row r="35" spans="1:5" x14ac:dyDescent="0.25">
      <c r="A35" s="2"/>
      <c r="B35" s="4"/>
      <c r="C35" s="2"/>
      <c r="D35" s="6"/>
      <c r="E35" s="4"/>
    </row>
    <row r="36" spans="1:5" x14ac:dyDescent="0.25">
      <c r="A36" s="2"/>
      <c r="C36" s="2"/>
      <c r="D36" s="6"/>
      <c r="E36" s="4"/>
    </row>
    <row r="37" spans="1:5" x14ac:dyDescent="0.25">
      <c r="A37" s="2"/>
      <c r="C37" s="2"/>
      <c r="D37" s="6"/>
      <c r="E37" s="4"/>
    </row>
    <row r="38" spans="1:5" x14ac:dyDescent="0.25">
      <c r="A38" s="2"/>
      <c r="C38" s="2"/>
      <c r="D38" s="6"/>
      <c r="E38" s="4"/>
    </row>
    <row r="39" spans="1:5" x14ac:dyDescent="0.25">
      <c r="A39" s="2"/>
      <c r="C39" s="2"/>
      <c r="D39" s="6"/>
      <c r="E39" s="4"/>
    </row>
    <row r="40" spans="1:5" x14ac:dyDescent="0.25">
      <c r="A40" s="2"/>
      <c r="C40" s="2"/>
      <c r="D40" s="6"/>
      <c r="E40" s="4"/>
    </row>
    <row r="41" spans="1:5" x14ac:dyDescent="0.25">
      <c r="A41" s="2"/>
      <c r="C41" s="2"/>
      <c r="D41" s="6"/>
      <c r="E41" s="4"/>
    </row>
    <row r="42" spans="1:5" x14ac:dyDescent="0.25">
      <c r="A42" s="2"/>
      <c r="C42" s="2"/>
      <c r="D42" s="6"/>
      <c r="E42" s="4"/>
    </row>
    <row r="43" spans="1:5" x14ac:dyDescent="0.25">
      <c r="A43" s="2"/>
      <c r="C43" s="2"/>
      <c r="D43" s="6"/>
      <c r="E43" s="4"/>
    </row>
    <row r="44" spans="1:5" x14ac:dyDescent="0.25">
      <c r="A44" s="2"/>
      <c r="C44" s="2"/>
      <c r="D44" s="2"/>
      <c r="E44" s="4"/>
    </row>
    <row r="45" spans="1:5" x14ac:dyDescent="0.25">
      <c r="A45" s="2"/>
      <c r="C45" s="2"/>
      <c r="D45" s="2"/>
    </row>
    <row r="46" spans="1:5" x14ac:dyDescent="0.25">
      <c r="A46" s="2"/>
      <c r="C46" s="2"/>
      <c r="D46" s="2"/>
    </row>
    <row r="47" spans="1:5" x14ac:dyDescent="0.25">
      <c r="A47" s="2"/>
      <c r="C47" s="2"/>
      <c r="D47" s="2"/>
    </row>
    <row r="48" spans="1:5" x14ac:dyDescent="0.25">
      <c r="A48" s="2"/>
      <c r="C48" s="2"/>
      <c r="D48" s="2"/>
    </row>
    <row r="49" spans="1:4" x14ac:dyDescent="0.25">
      <c r="A49" s="2"/>
      <c r="C49" s="2"/>
      <c r="D49" s="2"/>
    </row>
    <row r="50" spans="1:4" x14ac:dyDescent="0.25">
      <c r="A50" s="2"/>
      <c r="C50" s="2"/>
      <c r="D50" s="2"/>
    </row>
    <row r="51" spans="1:4" x14ac:dyDescent="0.25">
      <c r="A51" s="2"/>
      <c r="C51" s="2"/>
      <c r="D51" s="2"/>
    </row>
    <row r="52" spans="1:4" x14ac:dyDescent="0.25">
      <c r="A52" s="2"/>
      <c r="C52" s="2"/>
      <c r="D52" s="2"/>
    </row>
    <row r="53" spans="1:4" x14ac:dyDescent="0.25">
      <c r="A53" s="2"/>
      <c r="C53" s="2"/>
      <c r="D53" s="2"/>
    </row>
    <row r="54" spans="1:4" x14ac:dyDescent="0.25">
      <c r="A54" s="2"/>
      <c r="C54" s="2"/>
      <c r="D54" s="2"/>
    </row>
    <row r="55" spans="1:4" x14ac:dyDescent="0.25">
      <c r="A55" s="2"/>
      <c r="C55" s="2"/>
      <c r="D55" s="2"/>
    </row>
    <row r="56" spans="1:4" x14ac:dyDescent="0.25">
      <c r="A56" s="2"/>
      <c r="C56" s="2"/>
      <c r="D56" s="2"/>
    </row>
    <row r="57" spans="1:4" x14ac:dyDescent="0.25">
      <c r="A57" s="2"/>
      <c r="C57" s="2"/>
      <c r="D57" s="2"/>
    </row>
    <row r="58" spans="1:4" x14ac:dyDescent="0.25">
      <c r="A58" s="2"/>
      <c r="C58" s="2"/>
      <c r="D58" s="2"/>
    </row>
    <row r="59" spans="1:4" x14ac:dyDescent="0.25">
      <c r="A59" s="2"/>
      <c r="C59" s="2"/>
      <c r="D59" s="2"/>
    </row>
    <row r="60" spans="1:4" x14ac:dyDescent="0.25">
      <c r="A60" s="2"/>
      <c r="C60" s="2"/>
      <c r="D60" s="2"/>
    </row>
    <row r="61" spans="1:4" x14ac:dyDescent="0.25">
      <c r="A61" s="2"/>
      <c r="C61" s="2"/>
      <c r="D61" s="2"/>
    </row>
    <row r="62" spans="1:4" x14ac:dyDescent="0.25">
      <c r="A62" s="2"/>
      <c r="C62" s="2"/>
      <c r="D62" s="2"/>
    </row>
    <row r="63" spans="1:4" x14ac:dyDescent="0.25">
      <c r="A63" s="2"/>
      <c r="C63" s="2"/>
      <c r="D63" s="2"/>
    </row>
    <row r="64" spans="1:4" x14ac:dyDescent="0.25">
      <c r="A64" s="2"/>
      <c r="C64" s="2"/>
      <c r="D64" s="2"/>
    </row>
    <row r="65" spans="1:4" x14ac:dyDescent="0.25">
      <c r="A65" s="2"/>
      <c r="C65" s="2"/>
      <c r="D65" s="2"/>
    </row>
    <row r="66" spans="1:4" x14ac:dyDescent="0.25">
      <c r="A66" s="2"/>
      <c r="C66" s="2"/>
      <c r="D66" s="2"/>
    </row>
    <row r="67" spans="1:4" x14ac:dyDescent="0.25">
      <c r="A67" s="2"/>
      <c r="C67" s="2"/>
      <c r="D67" s="2"/>
    </row>
    <row r="68" spans="1:4" x14ac:dyDescent="0.25">
      <c r="A68" s="2"/>
      <c r="C68" s="2"/>
      <c r="D68" s="2"/>
    </row>
    <row r="69" spans="1:4" x14ac:dyDescent="0.25">
      <c r="A69" s="2"/>
      <c r="C69" s="2"/>
      <c r="D69" s="2"/>
    </row>
    <row r="70" spans="1:4" x14ac:dyDescent="0.25">
      <c r="A70" s="2"/>
      <c r="C70" s="2"/>
      <c r="D70" s="2"/>
    </row>
    <row r="71" spans="1:4" x14ac:dyDescent="0.25">
      <c r="A71" s="2"/>
      <c r="C71" s="2"/>
      <c r="D71" s="2"/>
    </row>
    <row r="72" spans="1:4" x14ac:dyDescent="0.25">
      <c r="A72" s="2"/>
      <c r="C72" s="2"/>
      <c r="D72" s="2"/>
    </row>
    <row r="73" spans="1:4" x14ac:dyDescent="0.25">
      <c r="A73" s="2"/>
      <c r="C73" s="2"/>
      <c r="D73" s="2"/>
    </row>
    <row r="74" spans="1:4" x14ac:dyDescent="0.25">
      <c r="A74" s="2"/>
      <c r="C74" s="2"/>
      <c r="D74" s="2"/>
    </row>
    <row r="75" spans="1:4" x14ac:dyDescent="0.25">
      <c r="A75" s="2"/>
      <c r="C75" s="2"/>
      <c r="D75" s="2"/>
    </row>
    <row r="76" spans="1:4" x14ac:dyDescent="0.25">
      <c r="A76" s="2"/>
      <c r="C76" s="2"/>
      <c r="D76" s="2"/>
    </row>
    <row r="77" spans="1:4" x14ac:dyDescent="0.25">
      <c r="A77" s="2"/>
      <c r="C77" s="2"/>
      <c r="D77" s="2"/>
    </row>
    <row r="78" spans="1:4" x14ac:dyDescent="0.25">
      <c r="A78" s="2"/>
      <c r="C78" s="2"/>
      <c r="D78" s="2"/>
    </row>
    <row r="79" spans="1:4" x14ac:dyDescent="0.25">
      <c r="A79" s="2"/>
      <c r="C79" s="2"/>
      <c r="D79" s="2"/>
    </row>
    <row r="80" spans="1:4" x14ac:dyDescent="0.25">
      <c r="A80" s="2"/>
      <c r="C80" s="2"/>
      <c r="D80" s="2"/>
    </row>
    <row r="81" spans="1:4" x14ac:dyDescent="0.25">
      <c r="A81" s="2"/>
      <c r="C81" s="2"/>
      <c r="D81" s="2"/>
    </row>
    <row r="82" spans="1:4" x14ac:dyDescent="0.25">
      <c r="A82" s="2"/>
      <c r="C82" s="2"/>
      <c r="D82" s="2"/>
    </row>
    <row r="83" spans="1:4" x14ac:dyDescent="0.25">
      <c r="A83" s="2"/>
      <c r="C83" s="2"/>
      <c r="D83" s="2"/>
    </row>
    <row r="84" spans="1:4" x14ac:dyDescent="0.25">
      <c r="A84" s="2"/>
      <c r="C84" s="2"/>
      <c r="D84" s="2"/>
    </row>
    <row r="85" spans="1:4" x14ac:dyDescent="0.25">
      <c r="A85" s="2"/>
      <c r="C85" s="2"/>
      <c r="D85" s="2"/>
    </row>
    <row r="86" spans="1:4" x14ac:dyDescent="0.25">
      <c r="A86" s="2"/>
      <c r="C86" s="2"/>
      <c r="D86" s="2"/>
    </row>
    <row r="87" spans="1:4" x14ac:dyDescent="0.25">
      <c r="A87" s="2"/>
      <c r="C87" s="2"/>
      <c r="D87" s="2"/>
    </row>
    <row r="88" spans="1:4" x14ac:dyDescent="0.25">
      <c r="A88" s="2"/>
      <c r="C88" s="2"/>
      <c r="D88" s="2"/>
    </row>
    <row r="89" spans="1:4" x14ac:dyDescent="0.25">
      <c r="A89" s="2"/>
      <c r="C89" s="2"/>
      <c r="D89" s="2"/>
    </row>
    <row r="90" spans="1:4" x14ac:dyDescent="0.25">
      <c r="A90" s="2"/>
      <c r="C90" s="2"/>
      <c r="D90" s="2"/>
    </row>
    <row r="91" spans="1:4" x14ac:dyDescent="0.25">
      <c r="A91" s="2"/>
      <c r="C91" s="2"/>
      <c r="D91" s="2"/>
    </row>
    <row r="92" spans="1:4" x14ac:dyDescent="0.25">
      <c r="A92" s="2"/>
      <c r="C92" s="2"/>
      <c r="D92" s="2"/>
    </row>
    <row r="93" spans="1:4" x14ac:dyDescent="0.25">
      <c r="A93" s="2"/>
      <c r="C93" s="2"/>
      <c r="D93" s="2"/>
    </row>
    <row r="94" spans="1:4" x14ac:dyDescent="0.25">
      <c r="A94" s="2"/>
      <c r="C94" s="2"/>
      <c r="D94" s="2"/>
    </row>
    <row r="95" spans="1:4" x14ac:dyDescent="0.25">
      <c r="A95" s="2"/>
      <c r="C95" s="2"/>
      <c r="D95" s="2"/>
    </row>
    <row r="96" spans="1:4" x14ac:dyDescent="0.25">
      <c r="A96" s="2"/>
      <c r="C96" s="2"/>
      <c r="D96" s="2"/>
    </row>
    <row r="97" spans="1:4" x14ac:dyDescent="0.25">
      <c r="A97" s="2"/>
      <c r="C97" s="2"/>
      <c r="D97" s="2"/>
    </row>
    <row r="98" spans="1:4" x14ac:dyDescent="0.25">
      <c r="A98" s="2"/>
      <c r="C98" s="2"/>
      <c r="D98" s="2"/>
    </row>
    <row r="99" spans="1:4" x14ac:dyDescent="0.25">
      <c r="A99" s="2"/>
      <c r="C99" s="2"/>
      <c r="D99" s="2"/>
    </row>
    <row r="100" spans="1:4" x14ac:dyDescent="0.25">
      <c r="A100" s="2"/>
      <c r="C100" s="2"/>
      <c r="D100" s="2"/>
    </row>
    <row r="101" spans="1:4" x14ac:dyDescent="0.25">
      <c r="A101" s="2"/>
      <c r="C101" s="2"/>
      <c r="D101" s="2"/>
    </row>
    <row r="102" spans="1:4" x14ac:dyDescent="0.25">
      <c r="A102" s="2"/>
      <c r="C102" s="2"/>
      <c r="D102" s="2"/>
    </row>
    <row r="103" spans="1:4" x14ac:dyDescent="0.25">
      <c r="A103" s="2"/>
      <c r="C103" s="2"/>
      <c r="D103" s="2"/>
    </row>
    <row r="104" spans="1:4" x14ac:dyDescent="0.25">
      <c r="A104" s="2"/>
      <c r="C104" s="2"/>
      <c r="D104" s="2"/>
    </row>
    <row r="105" spans="1:4" x14ac:dyDescent="0.25">
      <c r="A105" s="2"/>
      <c r="C105" s="2"/>
      <c r="D105" s="2"/>
    </row>
    <row r="106" spans="1:4" x14ac:dyDescent="0.25">
      <c r="A106" s="2"/>
      <c r="C106" s="2"/>
      <c r="D106" s="2"/>
    </row>
    <row r="107" spans="1:4" x14ac:dyDescent="0.25">
      <c r="A107" s="2"/>
      <c r="C107" s="2"/>
      <c r="D107" s="2"/>
    </row>
    <row r="108" spans="1:4" x14ac:dyDescent="0.25">
      <c r="A108" s="2"/>
      <c r="C108" s="2"/>
      <c r="D108" s="2"/>
    </row>
    <row r="109" spans="1:4" x14ac:dyDescent="0.25">
      <c r="A109" s="2"/>
      <c r="C109" s="2"/>
      <c r="D109" s="2"/>
    </row>
    <row r="110" spans="1:4" x14ac:dyDescent="0.25">
      <c r="A110" s="2"/>
      <c r="C110" s="2"/>
      <c r="D110" s="2"/>
    </row>
    <row r="111" spans="1:4" x14ac:dyDescent="0.25">
      <c r="A111" s="2"/>
      <c r="C111" s="2"/>
      <c r="D111" s="2"/>
    </row>
    <row r="112" spans="1:4" x14ac:dyDescent="0.25">
      <c r="A112" s="2"/>
      <c r="C112" s="2"/>
      <c r="D112" s="2"/>
    </row>
    <row r="113" spans="1:4" x14ac:dyDescent="0.25">
      <c r="A113" s="2"/>
      <c r="C113" s="2"/>
      <c r="D113" s="2"/>
    </row>
    <row r="114" spans="1:4" x14ac:dyDescent="0.25">
      <c r="A114" s="2"/>
      <c r="C114" s="2"/>
      <c r="D114" s="2"/>
    </row>
    <row r="115" spans="1:4" x14ac:dyDescent="0.25">
      <c r="A115" s="2"/>
      <c r="C115" s="2"/>
      <c r="D115" s="2"/>
    </row>
    <row r="116" spans="1:4" x14ac:dyDescent="0.25">
      <c r="A116" s="2"/>
      <c r="C116" s="2"/>
      <c r="D116" s="2"/>
    </row>
    <row r="117" spans="1:4" x14ac:dyDescent="0.25">
      <c r="A117" s="2"/>
      <c r="C117" s="2"/>
      <c r="D117" s="2"/>
    </row>
    <row r="118" spans="1:4" x14ac:dyDescent="0.25">
      <c r="A118" s="2"/>
      <c r="C118" s="2"/>
      <c r="D118" s="2"/>
    </row>
    <row r="119" spans="1:4" x14ac:dyDescent="0.25">
      <c r="A119" s="2"/>
      <c r="C119" s="2"/>
      <c r="D119" s="2"/>
    </row>
    <row r="120" spans="1:4" x14ac:dyDescent="0.25">
      <c r="A120" s="2"/>
      <c r="C120" s="2"/>
      <c r="D120" s="2"/>
    </row>
    <row r="121" spans="1:4" x14ac:dyDescent="0.25">
      <c r="A121" s="2"/>
      <c r="C121" s="2"/>
      <c r="D121" s="2"/>
    </row>
    <row r="122" spans="1:4" x14ac:dyDescent="0.25">
      <c r="A122" s="2"/>
      <c r="C122" s="2"/>
      <c r="D122" s="2"/>
    </row>
    <row r="123" spans="1:4" x14ac:dyDescent="0.25">
      <c r="A123" s="2"/>
      <c r="C123" s="2"/>
      <c r="D123" s="2"/>
    </row>
    <row r="124" spans="1:4" x14ac:dyDescent="0.25">
      <c r="A124" s="2"/>
      <c r="C124" s="2"/>
      <c r="D124" s="2"/>
    </row>
    <row r="125" spans="1:4" x14ac:dyDescent="0.25">
      <c r="A125" s="2"/>
      <c r="C125" s="2"/>
      <c r="D125" s="2"/>
    </row>
    <row r="126" spans="1:4" x14ac:dyDescent="0.25">
      <c r="A126" s="2"/>
      <c r="C126" s="2"/>
      <c r="D126" s="2"/>
    </row>
    <row r="127" spans="1:4" x14ac:dyDescent="0.25">
      <c r="A127" s="2"/>
      <c r="C127" s="2"/>
      <c r="D127" s="2"/>
    </row>
    <row r="128" spans="1:4" x14ac:dyDescent="0.25">
      <c r="A128" s="2"/>
      <c r="C128" s="2"/>
      <c r="D128" s="2"/>
    </row>
    <row r="129" spans="1:4" x14ac:dyDescent="0.25">
      <c r="A129" s="2"/>
      <c r="C129" s="2"/>
      <c r="D129" s="2"/>
    </row>
    <row r="130" spans="1:4" x14ac:dyDescent="0.25">
      <c r="A130" s="2"/>
      <c r="C130" s="2"/>
      <c r="D130" s="2"/>
    </row>
    <row r="131" spans="1:4" x14ac:dyDescent="0.25">
      <c r="A131" s="2"/>
      <c r="C131" s="2"/>
      <c r="D131" s="2"/>
    </row>
    <row r="132" spans="1:4" x14ac:dyDescent="0.25">
      <c r="A132" s="2"/>
      <c r="C132" s="2"/>
      <c r="D132" s="2"/>
    </row>
    <row r="133" spans="1:4" x14ac:dyDescent="0.25">
      <c r="A133" s="2"/>
      <c r="C133" s="2"/>
      <c r="D133" s="2"/>
    </row>
    <row r="134" spans="1:4" x14ac:dyDescent="0.25">
      <c r="A134" s="2"/>
      <c r="C134" s="2"/>
      <c r="D134" s="2"/>
    </row>
    <row r="135" spans="1:4" x14ac:dyDescent="0.25">
      <c r="A135" s="2"/>
      <c r="C135" s="2"/>
      <c r="D135" s="2"/>
    </row>
    <row r="136" spans="1:4" x14ac:dyDescent="0.25">
      <c r="A136" s="2"/>
      <c r="C136" s="2"/>
      <c r="D136" s="2"/>
    </row>
    <row r="137" spans="1:4" x14ac:dyDescent="0.25">
      <c r="A137" s="2"/>
      <c r="C137" s="2"/>
      <c r="D137" s="2"/>
    </row>
    <row r="138" spans="1:4" x14ac:dyDescent="0.25">
      <c r="A138" s="2"/>
      <c r="C138" s="2"/>
      <c r="D138" s="2"/>
    </row>
    <row r="139" spans="1:4" x14ac:dyDescent="0.25">
      <c r="A139" s="2"/>
      <c r="C139" s="2"/>
      <c r="D139" s="2"/>
    </row>
    <row r="140" spans="1:4" x14ac:dyDescent="0.25">
      <c r="A140" s="2"/>
      <c r="C140" s="2"/>
      <c r="D140" s="2"/>
    </row>
    <row r="141" spans="1:4" x14ac:dyDescent="0.25">
      <c r="A141" s="2"/>
      <c r="C141" s="2"/>
      <c r="D141" s="2"/>
    </row>
    <row r="142" spans="1:4" x14ac:dyDescent="0.25">
      <c r="A142" s="2"/>
      <c r="C142" s="2"/>
      <c r="D142" s="2"/>
    </row>
    <row r="143" spans="1:4" x14ac:dyDescent="0.25">
      <c r="A143" s="2"/>
      <c r="C143" s="2"/>
      <c r="D143" s="2"/>
    </row>
    <row r="144" spans="1:4" x14ac:dyDescent="0.25">
      <c r="A144" s="2"/>
      <c r="C144" s="2"/>
      <c r="D144" s="2"/>
    </row>
    <row r="145" spans="1:4" x14ac:dyDescent="0.25">
      <c r="A145" s="2"/>
      <c r="C145" s="2"/>
      <c r="D145" s="2"/>
    </row>
    <row r="146" spans="1:4" x14ac:dyDescent="0.25">
      <c r="A146" s="2"/>
      <c r="C146" s="2"/>
      <c r="D146" s="2"/>
    </row>
    <row r="147" spans="1:4" x14ac:dyDescent="0.25">
      <c r="A147" s="2"/>
      <c r="C147" s="2"/>
      <c r="D147" s="2"/>
    </row>
    <row r="148" spans="1:4" x14ac:dyDescent="0.25">
      <c r="A148" s="2"/>
      <c r="C148" s="2"/>
      <c r="D148" s="2"/>
    </row>
    <row r="149" spans="1:4" x14ac:dyDescent="0.25">
      <c r="A149" s="2"/>
      <c r="C149" s="2"/>
      <c r="D149" s="2"/>
    </row>
    <row r="150" spans="1:4" x14ac:dyDescent="0.25">
      <c r="A150" s="2"/>
      <c r="C150" s="2"/>
      <c r="D150" s="2"/>
    </row>
    <row r="151" spans="1:4" x14ac:dyDescent="0.25">
      <c r="A151" s="2"/>
      <c r="C151" s="2"/>
      <c r="D151" s="2"/>
    </row>
    <row r="152" spans="1:4" x14ac:dyDescent="0.25">
      <c r="A152" s="2"/>
      <c r="C152" s="2"/>
      <c r="D152" s="2"/>
    </row>
    <row r="153" spans="1:4" x14ac:dyDescent="0.25">
      <c r="A153" s="2"/>
      <c r="C153" s="2"/>
      <c r="D153" s="2"/>
    </row>
    <row r="154" spans="1:4" x14ac:dyDescent="0.25">
      <c r="A154" s="2"/>
      <c r="C154" s="2"/>
      <c r="D154" s="2"/>
    </row>
    <row r="155" spans="1:4" x14ac:dyDescent="0.25">
      <c r="A155" s="2"/>
      <c r="C155" s="2"/>
      <c r="D155" s="2"/>
    </row>
    <row r="156" spans="1:4" x14ac:dyDescent="0.25">
      <c r="A156" s="2"/>
      <c r="C156" s="2"/>
      <c r="D156" s="2"/>
    </row>
    <row r="157" spans="1:4" x14ac:dyDescent="0.25">
      <c r="A157" s="2"/>
      <c r="C157" s="2"/>
      <c r="D157" s="2"/>
    </row>
    <row r="158" spans="1:4" x14ac:dyDescent="0.25">
      <c r="A158" s="2"/>
      <c r="C158" s="2"/>
      <c r="D158" s="2"/>
    </row>
    <row r="159" spans="1:4" x14ac:dyDescent="0.25">
      <c r="A159" s="2"/>
      <c r="C159" s="2"/>
      <c r="D159" s="2"/>
    </row>
    <row r="160" spans="1:4" x14ac:dyDescent="0.25">
      <c r="A160" s="2"/>
      <c r="C160" s="2"/>
      <c r="D160" s="2"/>
    </row>
    <row r="161" spans="1:4" x14ac:dyDescent="0.25">
      <c r="A161" s="2"/>
      <c r="C161" s="2"/>
      <c r="D161" s="2"/>
    </row>
    <row r="162" spans="1:4" x14ac:dyDescent="0.25">
      <c r="A162" s="2"/>
      <c r="C162" s="2"/>
      <c r="D162" s="2"/>
    </row>
    <row r="163" spans="1:4" x14ac:dyDescent="0.25">
      <c r="A163" s="2"/>
      <c r="C163" s="2"/>
      <c r="D163" s="2"/>
    </row>
    <row r="164" spans="1:4" x14ac:dyDescent="0.25">
      <c r="A164" s="2"/>
      <c r="C164" s="2"/>
      <c r="D164" s="2"/>
    </row>
    <row r="165" spans="1:4" x14ac:dyDescent="0.25">
      <c r="A165" s="2"/>
      <c r="C165" s="2"/>
      <c r="D165" s="2"/>
    </row>
    <row r="166" spans="1:4" x14ac:dyDescent="0.25">
      <c r="A166" s="2"/>
      <c r="C166" s="2"/>
      <c r="D166" s="2"/>
    </row>
    <row r="167" spans="1:4" x14ac:dyDescent="0.25">
      <c r="A167" s="2"/>
      <c r="C167" s="2"/>
      <c r="D167" s="2"/>
    </row>
    <row r="168" spans="1:4" x14ac:dyDescent="0.25">
      <c r="A168" s="2"/>
      <c r="C168" s="2"/>
      <c r="D168" s="2"/>
    </row>
    <row r="169" spans="1:4" x14ac:dyDescent="0.25">
      <c r="A169" s="2"/>
      <c r="C169" s="2"/>
      <c r="D169" s="2"/>
    </row>
    <row r="170" spans="1:4" x14ac:dyDescent="0.25">
      <c r="A170" s="2"/>
      <c r="C170" s="2"/>
      <c r="D170" s="2"/>
    </row>
    <row r="171" spans="1:4" x14ac:dyDescent="0.25">
      <c r="A171" s="2"/>
      <c r="C171" s="2"/>
      <c r="D171" s="2"/>
    </row>
    <row r="172" spans="1:4" x14ac:dyDescent="0.25">
      <c r="A172" s="2"/>
      <c r="C172" s="2"/>
      <c r="D172" s="2"/>
    </row>
    <row r="173" spans="1:4" x14ac:dyDescent="0.25">
      <c r="A173" s="2"/>
      <c r="C173" s="2"/>
      <c r="D173" s="2"/>
    </row>
    <row r="174" spans="1:4" x14ac:dyDescent="0.25">
      <c r="A174" s="2"/>
      <c r="C174" s="2"/>
      <c r="D174" s="2"/>
    </row>
    <row r="175" spans="1:4" x14ac:dyDescent="0.25">
      <c r="A175" s="2"/>
      <c r="C175" s="2"/>
      <c r="D175" s="2"/>
    </row>
    <row r="176" spans="1:4" x14ac:dyDescent="0.25">
      <c r="A176" s="2"/>
      <c r="C176" s="2"/>
      <c r="D176" s="2"/>
    </row>
    <row r="177" spans="1:4" x14ac:dyDescent="0.25">
      <c r="A177" s="2"/>
      <c r="C177" s="2"/>
      <c r="D177" s="2"/>
    </row>
    <row r="178" spans="1:4" x14ac:dyDescent="0.25">
      <c r="A178" s="2"/>
      <c r="C178" s="2"/>
      <c r="D178" s="2"/>
    </row>
    <row r="179" spans="1:4" x14ac:dyDescent="0.25">
      <c r="A179" s="2"/>
      <c r="C179" s="2"/>
      <c r="D179" s="2"/>
    </row>
    <row r="180" spans="1:4" x14ac:dyDescent="0.25">
      <c r="A180" s="2"/>
      <c r="C180" s="2"/>
      <c r="D180" s="2"/>
    </row>
    <row r="181" spans="1:4" x14ac:dyDescent="0.25">
      <c r="A181" s="2"/>
      <c r="C181" s="2"/>
      <c r="D181" s="2"/>
    </row>
    <row r="182" spans="1:4" x14ac:dyDescent="0.25">
      <c r="A182" s="2"/>
      <c r="C182" s="2"/>
      <c r="D182" s="2"/>
    </row>
    <row r="183" spans="1:4" x14ac:dyDescent="0.25">
      <c r="A183" s="2"/>
      <c r="C183" s="2"/>
      <c r="D183" s="2"/>
    </row>
    <row r="184" spans="1:4" x14ac:dyDescent="0.25">
      <c r="A184" s="2"/>
      <c r="C184" s="2"/>
      <c r="D184" s="2"/>
    </row>
    <row r="185" spans="1:4" x14ac:dyDescent="0.25">
      <c r="A185" s="2"/>
      <c r="C185" s="2"/>
      <c r="D185" s="2"/>
    </row>
    <row r="186" spans="1:4" x14ac:dyDescent="0.25">
      <c r="A186" s="2"/>
      <c r="C186" s="2"/>
      <c r="D186" s="2"/>
    </row>
    <row r="187" spans="1:4" x14ac:dyDescent="0.25">
      <c r="A187" s="2"/>
      <c r="C187" s="2"/>
      <c r="D187" s="2"/>
    </row>
    <row r="188" spans="1:4" x14ac:dyDescent="0.25">
      <c r="A188" s="2"/>
      <c r="C188" s="2"/>
      <c r="D188" s="2"/>
    </row>
    <row r="189" spans="1:4" x14ac:dyDescent="0.25">
      <c r="A189" s="2"/>
      <c r="C189" s="2"/>
      <c r="D189" s="2"/>
    </row>
    <row r="190" spans="1:4" x14ac:dyDescent="0.25">
      <c r="A190" s="2"/>
      <c r="C190" s="2"/>
      <c r="D190" s="2"/>
    </row>
    <row r="191" spans="1:4" x14ac:dyDescent="0.25">
      <c r="A191" s="2"/>
      <c r="C191" s="2"/>
      <c r="D191" s="2"/>
    </row>
    <row r="192" spans="1:4" x14ac:dyDescent="0.25">
      <c r="A192" s="2"/>
      <c r="C192" s="2"/>
      <c r="D192" s="2"/>
    </row>
    <row r="193" spans="1:4" x14ac:dyDescent="0.25">
      <c r="A193" s="2"/>
      <c r="C193" s="2"/>
      <c r="D193" s="2"/>
    </row>
    <row r="194" spans="1:4" x14ac:dyDescent="0.25">
      <c r="A194" s="2"/>
      <c r="C194" s="2"/>
      <c r="D194" s="2"/>
    </row>
    <row r="195" spans="1:4" x14ac:dyDescent="0.25">
      <c r="A195" s="2"/>
      <c r="C195" s="2"/>
      <c r="D195" s="2"/>
    </row>
    <row r="196" spans="1:4" x14ac:dyDescent="0.25">
      <c r="A196" s="2"/>
      <c r="C196" s="2"/>
      <c r="D196" s="2"/>
    </row>
    <row r="197" spans="1:4" x14ac:dyDescent="0.25">
      <c r="A197" s="2"/>
      <c r="C197" s="2"/>
      <c r="D197" s="2"/>
    </row>
    <row r="198" spans="1:4" x14ac:dyDescent="0.25">
      <c r="A198" s="2"/>
      <c r="C198" s="2"/>
      <c r="D198" s="2"/>
    </row>
    <row r="199" spans="1:4" x14ac:dyDescent="0.25">
      <c r="A199" s="2"/>
      <c r="C199" s="2"/>
      <c r="D199" s="2"/>
    </row>
    <row r="200" spans="1:4" x14ac:dyDescent="0.25">
      <c r="A200" s="2"/>
      <c r="C200" s="2"/>
      <c r="D200" s="2"/>
    </row>
    <row r="201" spans="1:4" x14ac:dyDescent="0.25">
      <c r="A201" s="2"/>
      <c r="C201" s="2"/>
      <c r="D201" s="2"/>
    </row>
    <row r="202" spans="1:4" x14ac:dyDescent="0.25">
      <c r="A202" s="2"/>
      <c r="C202" s="2"/>
      <c r="D202" s="2"/>
    </row>
    <row r="203" spans="1:4" x14ac:dyDescent="0.25">
      <c r="A203" s="2"/>
      <c r="C203" s="2"/>
      <c r="D203" s="2"/>
    </row>
    <row r="204" spans="1:4" x14ac:dyDescent="0.25">
      <c r="A204" s="2"/>
      <c r="C204" s="2"/>
      <c r="D204" s="2"/>
    </row>
    <row r="205" spans="1:4" x14ac:dyDescent="0.25">
      <c r="A205" s="2"/>
      <c r="C205" s="2"/>
      <c r="D205" s="2"/>
    </row>
    <row r="206" spans="1:4" x14ac:dyDescent="0.25">
      <c r="A206" s="2"/>
      <c r="C206" s="2"/>
      <c r="D206" s="2"/>
    </row>
    <row r="207" spans="1:4" x14ac:dyDescent="0.25">
      <c r="A207" s="2"/>
      <c r="C207" s="2"/>
      <c r="D207" s="2"/>
    </row>
    <row r="208" spans="1:4" x14ac:dyDescent="0.25">
      <c r="A208" s="2"/>
      <c r="C208" s="2"/>
      <c r="D208" s="2"/>
    </row>
    <row r="209" spans="1:4" x14ac:dyDescent="0.25">
      <c r="A209" s="2"/>
      <c r="C209" s="2"/>
      <c r="D209" s="2"/>
    </row>
    <row r="210" spans="1:4" x14ac:dyDescent="0.25">
      <c r="A210" s="2"/>
      <c r="C210" s="2"/>
      <c r="D210" s="2"/>
    </row>
    <row r="211" spans="1:4" x14ac:dyDescent="0.25">
      <c r="A211" s="2"/>
      <c r="C211" s="2"/>
      <c r="D211" s="2"/>
    </row>
    <row r="212" spans="1:4" x14ac:dyDescent="0.25">
      <c r="A212" s="2"/>
      <c r="C212" s="2"/>
      <c r="D212" s="2"/>
    </row>
    <row r="213" spans="1:4" x14ac:dyDescent="0.25">
      <c r="A213" s="2"/>
      <c r="C213" s="2"/>
      <c r="D213" s="2"/>
    </row>
    <row r="214" spans="1:4" x14ac:dyDescent="0.25">
      <c r="A214" s="2"/>
      <c r="C214" s="2"/>
      <c r="D214" s="2"/>
    </row>
    <row r="215" spans="1:4" x14ac:dyDescent="0.25">
      <c r="A215" s="2"/>
      <c r="C215" s="2"/>
      <c r="D215" s="2"/>
    </row>
    <row r="216" spans="1:4" x14ac:dyDescent="0.25">
      <c r="A216" s="2"/>
      <c r="C216" s="2"/>
      <c r="D216" s="2"/>
    </row>
    <row r="217" spans="1:4" x14ac:dyDescent="0.25">
      <c r="A217" s="2"/>
      <c r="C217" s="2"/>
      <c r="D217" s="2"/>
    </row>
    <row r="218" spans="1:4" x14ac:dyDescent="0.25">
      <c r="A218" s="2"/>
      <c r="C218" s="2"/>
      <c r="D218" s="2"/>
    </row>
    <row r="219" spans="1:4" x14ac:dyDescent="0.25">
      <c r="A219" s="2"/>
      <c r="C219" s="2"/>
      <c r="D219" s="2"/>
    </row>
    <row r="220" spans="1:4" x14ac:dyDescent="0.25">
      <c r="A220" s="2"/>
      <c r="C220" s="2"/>
      <c r="D220" s="2"/>
    </row>
    <row r="221" spans="1:4" x14ac:dyDescent="0.25">
      <c r="A221" s="2"/>
      <c r="C221" s="2"/>
      <c r="D221" s="2"/>
    </row>
    <row r="222" spans="1:4" x14ac:dyDescent="0.25">
      <c r="A222" s="2"/>
      <c r="C222" s="2"/>
      <c r="D222" s="2"/>
    </row>
    <row r="223" spans="1:4" x14ac:dyDescent="0.25">
      <c r="A223" s="2"/>
      <c r="C223" s="2"/>
      <c r="D223" s="2"/>
    </row>
    <row r="224" spans="1:4" x14ac:dyDescent="0.25">
      <c r="A224" s="2"/>
      <c r="C224" s="2"/>
      <c r="D224" s="2"/>
    </row>
    <row r="225" spans="1:4" x14ac:dyDescent="0.25">
      <c r="A225" s="2"/>
      <c r="C225" s="2"/>
      <c r="D225" s="2"/>
    </row>
    <row r="226" spans="1:4" x14ac:dyDescent="0.25">
      <c r="A226" s="2"/>
      <c r="C226" s="2"/>
      <c r="D226" s="2"/>
    </row>
    <row r="227" spans="1:4" x14ac:dyDescent="0.25">
      <c r="A227" s="2"/>
      <c r="C227" s="2"/>
      <c r="D227" s="2"/>
    </row>
    <row r="228" spans="1:4" x14ac:dyDescent="0.25">
      <c r="A228" s="2"/>
      <c r="C228" s="2"/>
      <c r="D228" s="2"/>
    </row>
    <row r="229" spans="1:4" x14ac:dyDescent="0.25">
      <c r="A229" s="2"/>
      <c r="C229" s="2"/>
      <c r="D229" s="2"/>
    </row>
    <row r="230" spans="1:4" x14ac:dyDescent="0.25">
      <c r="A230" s="2"/>
      <c r="C230" s="2"/>
      <c r="D230" s="2"/>
    </row>
    <row r="231" spans="1:4" x14ac:dyDescent="0.25">
      <c r="A231" s="2"/>
      <c r="C231" s="2"/>
      <c r="D231" s="2"/>
    </row>
    <row r="232" spans="1:4" x14ac:dyDescent="0.25">
      <c r="A232" s="2"/>
      <c r="C232" s="2"/>
      <c r="D232" s="2"/>
    </row>
    <row r="233" spans="1:4" x14ac:dyDescent="0.25">
      <c r="A233" s="2"/>
      <c r="C233" s="2"/>
      <c r="D233" s="2"/>
    </row>
    <row r="234" spans="1:4" x14ac:dyDescent="0.25">
      <c r="A234" s="2"/>
      <c r="C234" s="2"/>
      <c r="D234" s="2"/>
    </row>
    <row r="235" spans="1:4" x14ac:dyDescent="0.25">
      <c r="A235" s="2"/>
      <c r="C235" s="2"/>
      <c r="D235" s="2"/>
    </row>
    <row r="236" spans="1:4" x14ac:dyDescent="0.25">
      <c r="A236" s="2"/>
      <c r="C236" s="2"/>
      <c r="D236" s="2"/>
    </row>
    <row r="237" spans="1:4" x14ac:dyDescent="0.25">
      <c r="A237" s="2"/>
      <c r="C237" s="2"/>
      <c r="D237" s="2"/>
    </row>
    <row r="238" spans="1:4" x14ac:dyDescent="0.25">
      <c r="A238" s="2"/>
      <c r="C238" s="2"/>
      <c r="D238" s="2"/>
    </row>
    <row r="239" spans="1:4" x14ac:dyDescent="0.25">
      <c r="A239" s="2"/>
      <c r="C239" s="2"/>
      <c r="D239" s="2"/>
    </row>
    <row r="240" spans="1:4" x14ac:dyDescent="0.25">
      <c r="A240" s="2"/>
      <c r="C240" s="2"/>
      <c r="D240" s="2"/>
    </row>
    <row r="241" spans="1:4" x14ac:dyDescent="0.25">
      <c r="A241" s="2"/>
      <c r="C241" s="2"/>
      <c r="D241" s="2"/>
    </row>
    <row r="242" spans="1:4" x14ac:dyDescent="0.25">
      <c r="A242" s="2"/>
      <c r="C242" s="2"/>
      <c r="D242" s="2"/>
    </row>
    <row r="243" spans="1:4" x14ac:dyDescent="0.25">
      <c r="A243" s="2"/>
      <c r="C243" s="2"/>
      <c r="D243" s="2"/>
    </row>
    <row r="244" spans="1:4" x14ac:dyDescent="0.25">
      <c r="A244" s="2"/>
      <c r="C244" s="2"/>
      <c r="D244" s="2"/>
    </row>
    <row r="245" spans="1:4" x14ac:dyDescent="0.25">
      <c r="A245" s="2"/>
      <c r="C245" s="2"/>
      <c r="D245" s="2"/>
    </row>
    <row r="246" spans="1:4" x14ac:dyDescent="0.25">
      <c r="A246" s="2"/>
      <c r="C246" s="2"/>
      <c r="D246" s="2"/>
    </row>
    <row r="247" spans="1:4" x14ac:dyDescent="0.25">
      <c r="A247" s="2"/>
      <c r="C247" s="2"/>
      <c r="D247" s="2"/>
    </row>
    <row r="248" spans="1:4" x14ac:dyDescent="0.25">
      <c r="A248" s="2"/>
      <c r="C248" s="2"/>
      <c r="D248" s="2"/>
    </row>
    <row r="249" spans="1:4" x14ac:dyDescent="0.25">
      <c r="A249" s="2"/>
      <c r="C249" s="2"/>
      <c r="D249" s="2"/>
    </row>
    <row r="250" spans="1:4" x14ac:dyDescent="0.25">
      <c r="A250" s="2"/>
      <c r="C250" s="2"/>
      <c r="D250" s="2"/>
    </row>
    <row r="251" spans="1:4" x14ac:dyDescent="0.25">
      <c r="A251" s="2"/>
      <c r="C251" s="2"/>
      <c r="D251" s="2"/>
    </row>
    <row r="252" spans="1:4" x14ac:dyDescent="0.25">
      <c r="A252" s="2"/>
      <c r="C252" s="2"/>
      <c r="D252" s="2"/>
    </row>
    <row r="253" spans="1:4" x14ac:dyDescent="0.25">
      <c r="A253" s="2"/>
      <c r="C253" s="2"/>
      <c r="D253" s="2"/>
    </row>
    <row r="254" spans="1:4" x14ac:dyDescent="0.25">
      <c r="A254" s="2"/>
      <c r="C254" s="2"/>
      <c r="D254" s="2"/>
    </row>
    <row r="255" spans="1:4" x14ac:dyDescent="0.25">
      <c r="A255" s="2"/>
      <c r="C255" s="2"/>
      <c r="D255" s="2"/>
    </row>
    <row r="256" spans="1:4" x14ac:dyDescent="0.25">
      <c r="A256" s="2"/>
      <c r="C256" s="2"/>
      <c r="D256" s="2"/>
    </row>
    <row r="257" spans="1:4" x14ac:dyDescent="0.25">
      <c r="A257" s="2"/>
      <c r="C257" s="2"/>
      <c r="D257" s="2"/>
    </row>
    <row r="258" spans="1:4" x14ac:dyDescent="0.25">
      <c r="A258" s="2"/>
      <c r="C258" s="2"/>
      <c r="D258" s="2"/>
    </row>
    <row r="259" spans="1:4" x14ac:dyDescent="0.25">
      <c r="A259" s="2"/>
      <c r="C259" s="2"/>
      <c r="D259" s="2"/>
    </row>
    <row r="260" spans="1:4" x14ac:dyDescent="0.25">
      <c r="A260" s="2"/>
      <c r="C260" s="2"/>
      <c r="D260" s="2"/>
    </row>
    <row r="261" spans="1:4" x14ac:dyDescent="0.25">
      <c r="A261" s="2"/>
      <c r="C261" s="2"/>
      <c r="D261" s="2"/>
    </row>
    <row r="262" spans="1:4" x14ac:dyDescent="0.25">
      <c r="A262" s="2"/>
      <c r="C262" s="2"/>
      <c r="D262" s="2"/>
    </row>
    <row r="263" spans="1:4" x14ac:dyDescent="0.25">
      <c r="A263" s="2"/>
      <c r="C263" s="2"/>
      <c r="D263" s="2"/>
    </row>
    <row r="264" spans="1:4" x14ac:dyDescent="0.25">
      <c r="A264" s="2"/>
      <c r="C264" s="2"/>
      <c r="D264" s="2"/>
    </row>
    <row r="265" spans="1:4" x14ac:dyDescent="0.25">
      <c r="A265" s="2"/>
      <c r="C265" s="2"/>
      <c r="D265" s="2"/>
    </row>
    <row r="266" spans="1:4" x14ac:dyDescent="0.25">
      <c r="A266" s="2"/>
      <c r="C266" s="2"/>
      <c r="D266" s="2"/>
    </row>
    <row r="267" spans="1:4" x14ac:dyDescent="0.25">
      <c r="A267" s="2"/>
      <c r="C267" s="2"/>
      <c r="D267" s="2"/>
    </row>
    <row r="268" spans="1:4" x14ac:dyDescent="0.25">
      <c r="A268" s="2"/>
      <c r="C268" s="2"/>
      <c r="D268" s="2"/>
    </row>
    <row r="269" spans="1:4" x14ac:dyDescent="0.25">
      <c r="A269" s="2"/>
      <c r="C269" s="2"/>
      <c r="D269" s="2"/>
    </row>
    <row r="270" spans="1:4" x14ac:dyDescent="0.25">
      <c r="A270" s="2"/>
      <c r="C270" s="2"/>
      <c r="D270" s="2"/>
    </row>
    <row r="271" spans="1:4" x14ac:dyDescent="0.25">
      <c r="A271" s="2"/>
      <c r="C271" s="2"/>
      <c r="D271" s="2"/>
    </row>
    <row r="272" spans="1:4" x14ac:dyDescent="0.25">
      <c r="A272" s="2"/>
      <c r="C272" s="2"/>
      <c r="D272" s="2"/>
    </row>
    <row r="273" spans="1:4" x14ac:dyDescent="0.25">
      <c r="A273" s="2"/>
      <c r="C273" s="2"/>
      <c r="D273" s="2"/>
    </row>
    <row r="274" spans="1:4" x14ac:dyDescent="0.25">
      <c r="A274" s="2"/>
      <c r="C274" s="2"/>
      <c r="D274" s="2"/>
    </row>
    <row r="275" spans="1:4" x14ac:dyDescent="0.25">
      <c r="A275" s="2"/>
      <c r="C275" s="2"/>
      <c r="D275" s="2"/>
    </row>
    <row r="276" spans="1:4" x14ac:dyDescent="0.25">
      <c r="A276" s="2"/>
      <c r="C276" s="2"/>
      <c r="D276" s="2"/>
    </row>
    <row r="277" spans="1:4" x14ac:dyDescent="0.25">
      <c r="A277" s="2"/>
      <c r="C277" s="2"/>
      <c r="D277" s="2"/>
    </row>
    <row r="278" spans="1:4" x14ac:dyDescent="0.25">
      <c r="A278" s="2"/>
      <c r="C278" s="2"/>
      <c r="D278" s="2"/>
    </row>
    <row r="279" spans="1:4" x14ac:dyDescent="0.25">
      <c r="A279" s="2"/>
      <c r="C279" s="2"/>
      <c r="D279" s="2"/>
    </row>
    <row r="280" spans="1:4" x14ac:dyDescent="0.25">
      <c r="A280" s="2"/>
      <c r="C280" s="2"/>
      <c r="D280" s="2"/>
    </row>
    <row r="281" spans="1:4" x14ac:dyDescent="0.25">
      <c r="A281" s="2"/>
      <c r="C281" s="2"/>
      <c r="D281" s="2"/>
    </row>
    <row r="282" spans="1:4" x14ac:dyDescent="0.25">
      <c r="A282" s="2"/>
      <c r="C282" s="2"/>
      <c r="D282" s="2"/>
    </row>
    <row r="283" spans="1:4" x14ac:dyDescent="0.25">
      <c r="A283" s="2"/>
      <c r="C283" s="2"/>
      <c r="D283" s="2"/>
    </row>
    <row r="284" spans="1:4" x14ac:dyDescent="0.25">
      <c r="A284" s="2"/>
      <c r="C284" s="2"/>
      <c r="D284" s="2"/>
    </row>
    <row r="285" spans="1:4" x14ac:dyDescent="0.25">
      <c r="A285" s="2"/>
      <c r="C285" s="2"/>
      <c r="D285" s="2"/>
    </row>
    <row r="286" spans="1:4" x14ac:dyDescent="0.25">
      <c r="A286" s="2"/>
      <c r="C286" s="2"/>
      <c r="D286" s="2"/>
    </row>
    <row r="287" spans="1:4" x14ac:dyDescent="0.25">
      <c r="A287" s="2"/>
      <c r="C287" s="2"/>
      <c r="D287" s="2"/>
    </row>
    <row r="288" spans="1:4" x14ac:dyDescent="0.25">
      <c r="A288" s="2"/>
      <c r="C288" s="2"/>
      <c r="D288" s="2"/>
    </row>
    <row r="289" spans="1:4" x14ac:dyDescent="0.25">
      <c r="A289" s="2"/>
      <c r="C289" s="2"/>
      <c r="D289" s="2"/>
    </row>
    <row r="290" spans="1:4" x14ac:dyDescent="0.25">
      <c r="A290" s="2"/>
      <c r="C290" s="2"/>
      <c r="D290" s="2"/>
    </row>
    <row r="291" spans="1:4" x14ac:dyDescent="0.25">
      <c r="A291" s="2"/>
      <c r="C291" s="2"/>
      <c r="D291" s="2"/>
    </row>
    <row r="292" spans="1:4" x14ac:dyDescent="0.25">
      <c r="A292" s="2"/>
      <c r="C292" s="2"/>
      <c r="D292" s="2"/>
    </row>
    <row r="293" spans="1:4" x14ac:dyDescent="0.25">
      <c r="A293" s="2"/>
      <c r="C293" s="2"/>
      <c r="D293" s="2"/>
    </row>
    <row r="294" spans="1:4" x14ac:dyDescent="0.25">
      <c r="A294" s="2"/>
      <c r="C294" s="2"/>
      <c r="D294" s="2"/>
    </row>
    <row r="295" spans="1:4" x14ac:dyDescent="0.25">
      <c r="A295" s="2"/>
      <c r="C295" s="2"/>
      <c r="D295" s="2"/>
    </row>
    <row r="296" spans="1:4" x14ac:dyDescent="0.25">
      <c r="A296" s="2"/>
      <c r="C296" s="2"/>
      <c r="D296" s="2"/>
    </row>
    <row r="297" spans="1:4" x14ac:dyDescent="0.25">
      <c r="A297" s="2"/>
      <c r="C297" s="2"/>
      <c r="D297" s="2"/>
    </row>
    <row r="298" spans="1:4" x14ac:dyDescent="0.25">
      <c r="A298" s="2"/>
      <c r="C298" s="2"/>
      <c r="D298" s="2"/>
    </row>
    <row r="299" spans="1:4" x14ac:dyDescent="0.25">
      <c r="A299" s="2"/>
      <c r="C299" s="2"/>
      <c r="D299" s="2"/>
    </row>
    <row r="300" spans="1:4" x14ac:dyDescent="0.25">
      <c r="A300" s="2"/>
      <c r="C300" s="2"/>
      <c r="D300" s="2"/>
    </row>
    <row r="301" spans="1:4" x14ac:dyDescent="0.25">
      <c r="A301" s="2"/>
    </row>
  </sheetData>
  <dataValidations count="2">
    <dataValidation type="custom" allowBlank="1" showDropDown="1" showErrorMessage="1" sqref="D3:D300" xr:uid="{00000000-0002-0000-0100-000000000000}">
      <formula1>OR(NOT(ISERROR(DATEVALUE(D3))), AND(ISNUMBER(D3), LEFT(CELL("format", D3))="D"))</formula1>
    </dataValidation>
    <dataValidation type="custom" allowBlank="1" showDropDown="1" sqref="C2:C300" xr:uid="{00000000-0002-0000-0100-000002000000}">
      <formula1>IFERROR(ISURL(C2), TRUE)</formula1>
    </dataValidation>
  </dataValidations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1000000}">
          <x14:formula1>
            <xm:f>_FocusAreas!$A$1:$A$26</xm:f>
          </x14:formula1>
          <xm:sqref>A2:A301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26"/>
  <sheetViews>
    <sheetView workbookViewId="0"/>
  </sheetViews>
  <sheetFormatPr defaultColWidth="12.6640625" defaultRowHeight="15.75" customHeight="1" x14ac:dyDescent="0.25"/>
  <sheetData>
    <row r="1" spans="1:1" x14ac:dyDescent="0.25">
      <c r="A1" s="2" t="str">
        <f ca="1">IFERROR(__xludf.DUMMYFUNCTION("IMPORTRANGE(""https://docs.google.com/spreadsheets/d/1MRxXG7WhUGH1_r7vfTspHaluWPPagoskKBUU7MGrMGc/edit?gid=1541423238#gid=1541423238"",""DIM_FocusAreas!D2:D27"")"),"Ignite early learning")</f>
        <v>Ignite early learning</v>
      </c>
    </row>
    <row r="2" spans="1:1" x14ac:dyDescent="0.25">
      <c r="A2" s="2" t="str">
        <f ca="1">IFERROR(__xludf.DUMMYFUNCTION("""COMPUTED_VALUE"""),"Elevate teaching and learning")</f>
        <v>Elevate teaching and learning</v>
      </c>
    </row>
    <row r="3" spans="1:1" x14ac:dyDescent="0.25">
      <c r="A3" s="2" t="str">
        <f ca="1">IFERROR(__xludf.DUMMYFUNCTION("""COMPUTED_VALUE"""),"Promote excellence for all")</f>
        <v>Promote excellence for all</v>
      </c>
    </row>
    <row r="4" spans="1:1" x14ac:dyDescent="0.25">
      <c r="A4" s="2" t="str">
        <f ca="1">IFERROR(__xludf.DUMMYFUNCTION("""COMPUTED_VALUE"""),"Reimagine the student experience")</f>
        <v>Reimagine the student experience</v>
      </c>
    </row>
    <row r="5" spans="1:1" x14ac:dyDescent="0.25">
      <c r="A5" s="2" t="str">
        <f ca="1">IFERROR(__xludf.DUMMYFUNCTION("""COMPUTED_VALUE"""),"Launch life-ready graduates")</f>
        <v>Launch life-ready graduates</v>
      </c>
    </row>
    <row r="6" spans="1:1" x14ac:dyDescent="0.25">
      <c r="A6" s="2" t="str">
        <f ca="1">IFERROR(__xludf.DUMMYFUNCTION("""COMPUTED_VALUE"""),"Improve educator recruitment and retention")</f>
        <v>Improve educator recruitment and retention</v>
      </c>
    </row>
    <row r="7" spans="1:1" x14ac:dyDescent="0.25">
      <c r="A7" s="2" t="str">
        <f ca="1">IFERROR(__xludf.DUMMYFUNCTION("""COMPUTED_VALUE"""),"Expand career pathways for education professionals")</f>
        <v>Expand career pathways for education professionals</v>
      </c>
    </row>
    <row r="8" spans="1:1" x14ac:dyDescent="0.25">
      <c r="A8" s="2" t="str">
        <f ca="1">IFERROR(__xludf.DUMMYFUNCTION("""COMPUTED_VALUE"""),"Increase educator compensation")</f>
        <v>Increase educator compensation</v>
      </c>
    </row>
    <row r="9" spans="1:1" x14ac:dyDescent="0.25">
      <c r="A9" s="2" t="str">
        <f ca="1">IFERROR(__xludf.DUMMYFUNCTION("""COMPUTED_VALUE"""),"Elevate and restore pride in the education profession")</f>
        <v>Elevate and restore pride in the education profession</v>
      </c>
    </row>
    <row r="10" spans="1:1" x14ac:dyDescent="0.25">
      <c r="A10" s="2" t="str">
        <f ca="1">IFERROR(__xludf.DUMMYFUNCTION("""COMPUTED_VALUE"""),"Engage and empower families")</f>
        <v>Engage and empower families</v>
      </c>
    </row>
    <row r="11" spans="1:1" x14ac:dyDescent="0.25">
      <c r="A11" s="2" t="str">
        <f ca="1">IFERROR(__xludf.DUMMYFUNCTION("""COMPUTED_VALUE"""),"Strengthen community partnerships")</f>
        <v>Strengthen community partnerships</v>
      </c>
    </row>
    <row r="12" spans="1:1" x14ac:dyDescent="0.25">
      <c r="A12" s="2" t="str">
        <f ca="1">IFERROR(__xludf.DUMMYFUNCTION("""COMPUTED_VALUE"""),"Ensure safe school environments")</f>
        <v>Ensure safe school environments</v>
      </c>
    </row>
    <row r="13" spans="1:1" x14ac:dyDescent="0.25">
      <c r="A13" s="2" t="str">
        <f ca="1">IFERROR(__xludf.DUMMYFUNCTION("""COMPUTED_VALUE"""),"Improve student and staff health and well-being")</f>
        <v>Improve student and staff health and well-being</v>
      </c>
    </row>
    <row r="14" spans="1:1" x14ac:dyDescent="0.25">
      <c r="A14" s="2" t="str">
        <f ca="1">IFERROR(__xludf.DUMMYFUNCTION("""COMPUTED_VALUE"""),"Improve NCDPI’s services to stakeholders")</f>
        <v>Improve NCDPI’s services to stakeholders</v>
      </c>
    </row>
    <row r="15" spans="1:1" x14ac:dyDescent="0.25">
      <c r="A15" s="2" t="str">
        <f ca="1">IFERROR(__xludf.DUMMYFUNCTION("""COMPUTED_VALUE"""),"Improve collaboration and communication across NCDPI offices")</f>
        <v>Improve collaboration and communication across NCDPI offices</v>
      </c>
    </row>
    <row r="16" spans="1:1" x14ac:dyDescent="0.25">
      <c r="A16" s="2" t="str">
        <f ca="1">IFERROR(__xludf.DUMMYFUNCTION("""COMPUTED_VALUE"""),"Modernize NCDPI and PSU operations")</f>
        <v>Modernize NCDPI and PSU operations</v>
      </c>
    </row>
    <row r="17" spans="1:1" x14ac:dyDescent="0.25">
      <c r="A17" s="2" t="str">
        <f ca="1">IFERROR(__xludf.DUMMYFUNCTION("""COMPUTED_VALUE"""),"Transform schools through research and development")</f>
        <v>Transform schools through research and development</v>
      </c>
    </row>
    <row r="18" spans="1:1" x14ac:dyDescent="0.25">
      <c r="A18" s="2" t="str">
        <f ca="1">IFERROR(__xludf.DUMMYFUNCTION("""COMPUTED_VALUE"""),"Connect North Carolina public schools through education networks")</f>
        <v>Connect North Carolina public schools through education networks</v>
      </c>
    </row>
    <row r="19" spans="1:1" x14ac:dyDescent="0.25">
      <c r="A19" s="2" t="str">
        <f ca="1">IFERROR(__xludf.DUMMYFUNCTION("""COMPUTED_VALUE"""),"Promote integrated support systems for schools and districts")</f>
        <v>Promote integrated support systems for schools and districts</v>
      </c>
    </row>
    <row r="20" spans="1:1" x14ac:dyDescent="0.25">
      <c r="A20" s="2" t="str">
        <f ca="1">IFERROR(__xludf.DUMMYFUNCTION("""COMPUTED_VALUE"""),"Explore accountability and funding reform")</f>
        <v>Explore accountability and funding reform</v>
      </c>
    </row>
    <row r="21" spans="1:1" x14ac:dyDescent="0.25">
      <c r="A21" s="2" t="str">
        <f ca="1">IFERROR(__xludf.DUMMYFUNCTION("""COMPUTED_VALUE"""),"Develop comprehensive public education messaging")</f>
        <v>Develop comprehensive public education messaging</v>
      </c>
    </row>
    <row r="22" spans="1:1" x14ac:dyDescent="0.25">
      <c r="A22" s="2" t="str">
        <f ca="1">IFERROR(__xludf.DUMMYFUNCTION("""COMPUTED_VALUE"""),"Engage partners on education")</f>
        <v>Engage partners on education</v>
      </c>
    </row>
    <row r="23" spans="1:1" x14ac:dyDescent="0.25">
      <c r="A23" s="2" t="str">
        <f ca="1">IFERROR(__xludf.DUMMYFUNCTION("""COMPUTED_VALUE"""),"Share public education messaging and stories")</f>
        <v>Share public education messaging and stories</v>
      </c>
    </row>
    <row r="24" spans="1:1" x14ac:dyDescent="0.25">
      <c r="A24" s="2" t="str">
        <f ca="1">IFERROR(__xludf.DUMMYFUNCTION("""COMPUTED_VALUE"""),"Build community voices")</f>
        <v>Build community voices</v>
      </c>
    </row>
    <row r="25" spans="1:1" x14ac:dyDescent="0.25">
      <c r="A25" s="2" t="str">
        <f ca="1">IFERROR(__xludf.DUMMYFUNCTION("""COMPUTED_VALUE"""),"Promote engagement initiatives")</f>
        <v>Promote engagement initiatives</v>
      </c>
    </row>
    <row r="26" spans="1:1" x14ac:dyDescent="0.25">
      <c r="A26" s="2" t="str">
        <f ca="1">IFERROR(__xludf.DUMMYFUNCTION("""COMPUTED_VALUE"""),"Move champions to action")</f>
        <v>Move champions to action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_Overview</vt:lpstr>
      <vt:lpstr>Assets</vt:lpstr>
      <vt:lpstr>_FocusAreas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Baxter</cp:lastModifiedBy>
  <dcterms:modified xsi:type="dcterms:W3CDTF">2026-04-09T13:43:42Z</dcterms:modified>
</cp:coreProperties>
</file>