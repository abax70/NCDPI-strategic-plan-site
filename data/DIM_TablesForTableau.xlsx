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_Pillars" sheetId="1" r:id="rId5"/>
    <sheet state="visible" name="DIM_FocusAreas" sheetId="2" r:id="rId6"/>
    <sheet state="visible" name="DIM_Measures" sheetId="3" r:id="rId7"/>
    <sheet state="hidden" name="LandingPage_MeasureMenu" sheetId="4" r:id="rId8"/>
    <sheet state="visible" name="DIM_Actions" sheetId="5" r:id="rId9"/>
    <sheet state="visible" name="LandingPage_MeasureDetailsText" sheetId="6" r:id="rId10"/>
    <sheet state="visible" name="LandingPage_MeasureResults" sheetId="7" r:id="rId11"/>
    <sheet state="visible" name="Sheet3" sheetId="8" r:id="rId12"/>
  </sheets>
  <definedNames>
    <definedName hidden="1" localSheetId="2" name="_xlnm._FilterDatabase">DIM_Measures!$A$1:$F$50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URL here, may need to include a parameter that is passing which pillar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Use this to sort the menu</t>
      </text>
    </comment>
    <comment authorId="0" ref="E1">
      <text>
        <t xml:space="preserve">For the hover on the measure menu.
Should basically be the measure titles, and combined where necessary, e.g., participation and credit.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tc={02c11eb0-2611-470b-8524-39b6f07dfc43}</author>
    <author>tc={0329ca96-a421-4bc9-add9-7fb9f0ae8038}</author>
    <author>tc={0377562c-67e6-45de-a6a4-51de768804a8}</author>
    <author>tc={2a3fb75d-80c2-4a17-a3e4-866cfd0a403c}</author>
    <author>tc={2bd0772b-a76a-4a14-a33a-4efa1c770773}</author>
    <author>tc={5ca2b098-ee1c-4859-b0bf-cdad8c2d5cbf}</author>
    <author>tc={6c8b5fd0-4f19-4e75-83fc-670608f205d2}</author>
    <author>tc={95103c40-598b-49d8-a14d-36c464a6fdfb}</author>
    <author>tc={9920e8dd-6a4e-4edf-8fe4-30c182dad84a}</author>
    <author>tc={e15199f0-a634-4f7b-aee5-913cf4e1c29c}</author>
  </authors>
  <commentList>
    <comment authorId="0" ref="I1">
      <text>
        <t xml:space="preserve">This is the place for any context that we want to add to the measure.</t>
      </text>
    </comment>
    <comment authorId="0" ref="N1">
      <text>
        <t xml:space="preserve">For where to go to see the actions behind the measure</t>
      </text>
    </comment>
    <comment authorId="1" xr:uid="{02c11eb0-2611-470b-8524-39b6f07dfc43}" ref="L9">
      <text>
        <t xml:space="preserve">[Threaded comment]
 Your version of Excel allows you to read this threaded comment; however, any edits to it will get removed if the file is opened in a newer version of Excel. Learn more: https://go.microsoft.com/fwlink/?linkid=870924
Comment:
	Check that this is most recent
</t>
      </text>
    </comment>
    <comment authorId="2" xr:uid="{0329ca96-a421-4bc9-add9-7fb9f0ae8038}" ref="O1">
      <text>
        <t xml:space="preserve">[Threaded comment]
 Your version of Excel allows you to read this threaded comment; however, any edits to it will get removed if the file is opened in a newer version of Excel. Learn more: https://go.microsoft.com/fwlink/?linkid=870924
Comment:
	Need to check if there are DPI dashboards that cover these sorts of things.  Or do I link to a state board presentation?
</t>
      </text>
    </comment>
    <comment authorId="3" xr:uid="{0377562c-67e6-45de-a6a4-51de768804a8}" ref="K8">
      <text>
        <t xml:space="preserve">[Threaded comment]
 Your version of Excel allows you to read this threaded comment; however, any edits to it will get removed if the file is opened in a newer version of Excel. Learn more: https://go.microsoft.com/fwlink/?linkid=870924
Comment:
	Note that this one also has another source (NCES) for the denominator. Need to do include that somehow.
</t>
      </text>
    </comment>
    <comment authorId="4" xr:uid="{2a3fb75d-80c2-4a17-a3e4-866cfd0a403c}" ref="I1">
      <text>
        <t xml:space="preserve">[Threaded comment]
 Your version of Excel allows you to read this threaded comment; however, any edits to it will get removed if the file is opened in a newer version of Excel. Learn more: https://go.microsoft.com/fwlink/?linkid=870924
Comment:
	@geoff.coltrane@dpi.nc.gov @curtis.sonneman@dpi.nc.gov @michael.maher@dpi.nc.gov 
Here is the column we will use to include anything specific about the measure that the user wants to know. We know the AP and ACT ones need special attention.  you are welcome to just add the note here in the appropriate cell.
</t>
      </text>
    </comment>
    <comment authorId="5" xr:uid="{2bd0772b-a76a-4a14-a33a-4efa1c770773}" ref="J1">
      <text>
        <t xml:space="preserve">[Threaded comment]
 Your version of Excel allows you to read this threaded comment; however, any edits to it will get removed if the file is opened in a newer version of Excel. Learn more: https://go.microsoft.com/fwlink/?linkid=870924
Comment:
	@curtis.sonneman@dpi.nc.gov @michael.maher@dpi.nc.gov @geoff.coltrane@dpi.nc.gov  Goal in this column is to list the approximate month/quarter and year when the user could expect to see the data updated. don't worry about formatting--just put something in and I'll take care of the rest.
</t>
      </text>
    </comment>
    <comment authorId="6" xr:uid="{5ca2b098-ee1c-4859-b0bf-cdad8c2d5cbf}" ref="L2">
      <text>
        <t xml:space="preserve">[Threaded comment]
 Your version of Excel allows you to read this threaded comment; however, any edits to it will get removed if the file is opened in a newer version of Excel. Learn more: https://go.microsoft.com/fwlink/?linkid=870924
Comment:
	Note that this is only through 2022 at this point
</t>
      </text>
    </comment>
    <comment authorId="7" xr:uid="{6c8b5fd0-4f19-4e75-83fc-670608f205d2}" ref="F3">
      <text>
        <t xml:space="preserve">[Threaded comment]
 Your version of Excel allows you to read this threaded comment; however, any edits to it will get removed if the file is opened in a newer version of Excel. Learn more: https://go.microsoft.com/fwlink/?linkid=870924
Comment:
	Check if it's specific to a grade
</t>
      </text>
    </comment>
    <comment authorId="8" xr:uid="{95103c40-598b-49d8-a14d-36c464a6fdfb}" ref="L15">
      <text>
        <t xml:space="preserve">[Threaded comment]
 Your version of Excel allows you to read this threaded comment; however, any edits to it will get removed if the file is opened in a newer version of Excel. Learn more: https://go.microsoft.com/fwlink/?linkid=870924
Comment:
	@geoff.coltrane@dpi.nc.gov I know this one is wonky.  Just choose the one url that you think is best OR if nothing really suits, then we'll just put a note here that says (NCDPI Internal) or something like that.
Assigned to geoff.coltrane@dpi.nc.gov
</t>
      </text>
    </comment>
    <comment authorId="9" xr:uid="{9920e8dd-6a4e-4edf-8fe4-30c182dad84a}" ref="M1">
      <text>
        <t xml:space="preserve">[Threaded comment]
 Your version of Excel allows you to read this threaded comment; however, any edits to it will get removed if the file is opened in a newer version of Excel. Learn more: https://go.microsoft.com/fwlink/?linkid=870924
Comment:
	@geoff.coltrane@dpi.nc.gov @mark.dessauer@dpi.nc.gov Hi, here is the place where we want to add 1-2 sentences about why the measure matters.  As we discussed on Friday, you can get as research-y or as platitudinous as you'd like, but make it concise.
</t>
      </text>
    </comment>
    <comment authorId="10" xr:uid="{e15199f0-a634-4f7b-aee5-913cf4e1c29c}" ref="K15">
      <text>
        <t xml:space="preserve">[Threaded comment]
 Your version of Excel allows you to read this threaded comment; however, any edits to it will get removed if the file is opened in a newer version of Excel. Learn more: https://go.microsoft.com/fwlink/?linkid=870924
Comment:
	Need edit for concision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Using this to set the maximum axis value by measure.  If the measure has a natural max, like CGRS, I just set it at 1
</t>
      </text>
    </comment>
  </commentList>
</comments>
</file>

<file path=xl/sharedStrings.xml><?xml version="1.0" encoding="utf-8"?>
<sst xmlns="http://schemas.openxmlformats.org/spreadsheetml/2006/main" count="1722" uniqueCount="734">
  <si>
    <t>PillarID</t>
  </si>
  <si>
    <t>PillarNum</t>
  </si>
  <si>
    <t>PillarName</t>
  </si>
  <si>
    <t>PillarTitleLine1</t>
  </si>
  <si>
    <t>PillarTitleLine2</t>
  </si>
  <si>
    <t>PillarURL</t>
  </si>
  <si>
    <t>PillarDesc</t>
  </si>
  <si>
    <t>PillarDescWrapped</t>
  </si>
  <si>
    <t>P1</t>
  </si>
  <si>
    <t>Prepare Each Student for Their Next Phase in Life</t>
  </si>
  <si>
    <t>Prepare Each Student for</t>
  </si>
  <si>
    <t>Their Next Phase in Life</t>
  </si>
  <si>
    <t>https://go.ncdpi.gov/PillarOne</t>
  </si>
  <si>
    <t>Public education unlocks the doors to the world and allows our democracy
and economy to flourish. Children who have learned the skill of lifelong
learning are prepared to chart their own path. Teaching and learning go
beyond a focus on a single academic assessment. North Carolina public
schools should be places where students build a strong foundation in early
childhood, learn to think critically and develop good character.
Throughout their journey in public education, students will not only develop
foundational skills in reading, writing, mathematics, the sciences and civic
engagement, but will also be given ample opportunities to find inspiration
and growth through world languages, arts, career and technical education
(CTE) courses, physical education, health, financial literacy, college-level
courses, and co-curricular and extracurricular activities, such as athletics.
Students will also develop work-ready skills needed to succeed in college,
career and their lives beyond pre-K–12 instruction.
Preparing our students for the next phase of their lives means giving them
the tools that all people need to function in the 21st century. It also means
ensuring access to opportunities after they graduate from high school.
Because every student is different, the preparation they need must be
flexible and responsive, tailored to their individual needs.</t>
  </si>
  <si>
    <t>P2</t>
  </si>
  <si>
    <t>Revere Public School Educators</t>
  </si>
  <si>
    <t>https://go.ncdpi.gov/PillarTwo</t>
  </si>
  <si>
    <t>To fully prepare each student for their next phase of life, we must
first honor and uplift those who make that preparation possible: the
dedicated professionals who serve in our public schools. Every adult in
a school building plays a vital role in shaping the student experience and
contributing to student success.
North Carolina’s public school professionals are the single most important
in-school factor influencing student learning. Yet today, they are not
compensated adequately, and too often, their working conditions fail to
reflect the deep respect they deserve. Reversing this trend is not just a
moral imperative — it is essential to the future of our students and our state.
To truly revere our educators and school staff, we must start by
ensuring competitive pay for our educators – beginning and veterans,
alike. We must go further to ensure supportive and respectful working
environments and provide resources necessary for every professional to
thrive throughout their career. We must also elevate all educational roles
and recognize the profession as an aspirational career that attracts and
retains talented individuals committed to public service. Education must
be a profession of choice, pride and purpose.</t>
  </si>
  <si>
    <t>To fully prepare each student for their next phase of life, we must first honor and uplift those who make that preparation possible: the dedicated professionals who serve in our public schools. Every adult in a school building plays a vital role in shaping the student experience and contributing to student success. North Carolina’s public school professionals are the single most important in-school factor influencing student learning. Yet today, they are not compensated adequately, and too often, their working conditions fail to reflect the deep respect they deserve. Reversing this trend is not just a moral imperative — it is essential to the future of our students and our state. To truly revere our educators and school staff, we must start by ensuring competitive pay for our educators – beginning and veterans, alike. We must go further to ensure supportive and respectful working environments and provide resources necessary for every professional to thrive throughout their career. We must also elevate all educational roles and recognize the profession as an aspirational career that attracts and retains talented individuals committed to public service. Education must be a profession of choice, pride and purpose.</t>
  </si>
  <si>
    <t>P3</t>
  </si>
  <si>
    <t>Enhance Parent, Caregiver and Community Support</t>
  </si>
  <si>
    <t xml:space="preserve">Enhance Parent, Caregiver </t>
  </si>
  <si>
    <t>and Community Support</t>
  </si>
  <si>
    <t>https://go.ncdpi.gov/PillarThree</t>
  </si>
  <si>
    <t>While schools are a powerful force in a child’s life, there are many
important partners who support our state’s students. Parents, guardians
and other caregivers (collectively referred to here as “parents”) are the
most important people in a child’s life and they are the most important
partners for schools. Important, too, are community organizations, houses
of worship, nonprofits, healthcare providers, philanthropies, mental
health providers, social service providers, volunteers and community
organizations that impact children. Study after study shows that students
who have strong parent and/or community support do far better than
students who do not. Parents and community also make a major
difference in the life of the school itself, creating the type of environment
where students learn and grow.
Educators must be empowered to establish strong relationships with
families and view family and community stakeholders as true partners in
decision-making processes. In turn, families will feel strongly connected
to their students’ schools. Communities should see their public schools as
the anchor.</t>
  </si>
  <si>
    <t>While schools are a powerful force in a child’s life, there are many
 important partners who support our state’s students. Parents, guardians
 and other caregivers (collectively referred to here as “parents”) are the
 most important people in a child’s life and they are the most important
 partners for schools. Important, too, are community organizations, houses
 of worship, nonprofits, healthcare providers, philanthropies, mental
 health providers, social service providers, volunteers and community
 organizations that impact children. Study after study shows that students
 who have strong parent and/or community support do far better than
 students who do not. Parents and community also make a major
 difference in the life of the school itself, creating the type of environment
 where students learn and grow.
 Educators must be empowered to establish strong relationships with
 families and view family and community stakeholders as true partners in
 decision-making processes. In turn, families will feel strongly connected
 to their students’ schools. Communities should see their public schools as
 the anchor.</t>
  </si>
  <si>
    <t>P4</t>
  </si>
  <si>
    <t>Ensure Healthy, Safe and Secure Learning Environments</t>
  </si>
  <si>
    <t>Ensure Healthy, Safe and</t>
  </si>
  <si>
    <t>Secure Learning Environments</t>
  </si>
  <si>
    <t>https://go.ncdpi.gov/PillarFour</t>
  </si>
  <si>
    <t>Students and staff in our public schools are not able to achieve
educational excellence unless we ensure their safety and well-being.
Physical safety must balance effective security measures with maintaining
welcoming, nurturing spaces. Through thoughtful design, staff training
and appropriate protocols, we should create environments where
students and staff can focus on teaching and learning. Within these
environments, proven, research-based practices that foster emotional
security and physical and mental well-being should be implemented.
School counselors, social workers, nurses and psychologists work
collaboratively with teachers to provide appropriate support tailored to
individual student needs. Overall, schools must be places where students
develop resilience, build relationships and prepare for their futures in safe,
secure environments that nurture their full potential.</t>
  </si>
  <si>
    <t>Students and staff in our public schools are not able to achieve
 educational excellence unless we ensure their safety and well-being.
 Physical safety must balance effective security measures with maintaining
 welcoming, nurturing spaces. Through thoughtful design, staff training
 and appropriate protocols, we should create environments where
 students and staff can focus on teaching and learning. Within these
 environments, proven, research-based practices that foster emotional
 security and physical and mental well-being should be implemented.
 School counselors, social workers, nurses and psychologists work
 collaboratively with teachers to provide appropriate support tailored to
 individual student needs. Overall, schools must be places where students
 develop resilience, build relationships and prepare for their futures in safe,
 secure environments that nurture their full potential.</t>
  </si>
  <si>
    <t>P5</t>
  </si>
  <si>
    <t>Optimize Operational Excellence</t>
  </si>
  <si>
    <t>https://go.ncdpi.gov/PillarFive</t>
  </si>
  <si>
    <t>NCDPI is committed to reimagining its operational infrastructure to better
serve schools and districts through a focus on organizational excellence.
At the core of this pillar is NCDPI’s unwavering dedication to support
PSUs in providing a high-quality education for every student. Through
modernized operations at both the state and local levels, we aim to use
cutting-edge technology, streamlined processes and data-informed
decision-making to eliminate unnecessary administrative burdens. This
operational focus extends beyond NCDPI itself, as the agency will actively
partner with PSUs across the state to model operational efficiency and
share best practices. Through this pillar, NCDPI will model that careful
attention to processes, systems and service delivery creates the essential
foundation upon which educational innovation can flourish, ultimately
ensuring that North Carolina’s public schools operate with maximum
effectiveness to support the success of every student.</t>
  </si>
  <si>
    <t>NCDPI is committed to reimagining its operational infrastructure to better
 serve schools and districts through a focus on organizational excellence.
 At the core of this pillar is NCDPI’s unwavering dedication to support
 PSUs in providing a high-quality education for every student. Through
 modernized operations at both the state and local levels, we aim to use
 cutting-edge technology, streamlined processes and data-informed
 decision-making to eliminate unnecessary administrative burdens. This
 operational focus extends beyond NCDPI itself, as the agency will actively
 partner with PSUs across the state to model operational efficiency and
 share best practices. Through this pillar, NCDPI will model that careful
 attention to processes, systems and service delivery creates the essential
 foundation upon which educational innovation can flourish, ultimately
 ensuring that North Carolina’s public schools operate with maximum
 effectiveness to support the success of every student.</t>
  </si>
  <si>
    <t>P6</t>
  </si>
  <si>
    <t>Lead Transformative Change</t>
  </si>
  <si>
    <t>https://go.ncdpi.gov/PillarSix</t>
  </si>
  <si>
    <t>North Carolina stands ready to pioneer approaches that will position our
state as a national leader in public education excellence. At the heart
of this pillar is a commitment to research and development that sparks
educational reimagining through thoughtful innovation. NCDPI will serve
as both catalyst and facilitator, establishing networks that transcend
boundaries between traditional public schools, charter schools and lab
schools, sharing promising practices and scaling effective innovations.
Through community-driven school designs and different approaches to
testing and accountability, we will ensure innovation remains grounded in
local needs while benefiting from statewide expertise. Our commitment
also extends to funding reform that prioritizes transparency, flexibility, a
focus on student needs and increased investments. This pillar represents
our commitment to the thoughtful, deliberate work of innovation and
elevating North Carolina’s public schools to new heights by strategically
using research, networks and integrated systems.</t>
  </si>
  <si>
    <t>North Carolina stands ready to pioneer approaches that will position our
 state as a national leader in public education excellence. At the heart
 of this pillar is a commitment to research and development that sparks
 educational reimagining through thoughtful innovation. NCDPI will serve
 as both catalyst and facilitator, establishing networks that transcend
 boundaries between traditional public schools, charter schools and lab
 schools, sharing promising practices and scaling effective innovations.
 Through community-driven school designs and different approaches to
 testing and accountability, we will ensure innovation remains grounded in
 local needs while benefiting from statewide expertise. Our commitment
 also extends to funding reform that prioritizes transparency, flexibility, a
 focus on student needs and increased investments. This pillar represents
 our commitment to the thoughtful, deliberate work of innovation and
 elevating North Carolina’s public schools to new heights by strategically
 using research, networks and integrated systems.</t>
  </si>
  <si>
    <t>P7</t>
  </si>
  <si>
    <t>Celebrate the Excellence in Public Education</t>
  </si>
  <si>
    <t xml:space="preserve">Celebrate the Excellence </t>
  </si>
  <si>
    <t>in Public Education</t>
  </si>
  <si>
    <t>https://go.ncdpi.gov/PillarSeven</t>
  </si>
  <si>
    <t>Families all across North Carolina send their children to their local public
school – in fact, the vast majority of them do choose public education.
They entrust their children to the educators whose bright faces greet
them each morning. They build community around high school football
games and middle school band performances. Each year, thousands of
students walk across stages to cheers and tears as they are prepared to
go out and lead the life they choose. Our schools did not become bright
beacons of hope all on their own. Generations of North Carolinians are
proud of our public schools, share their support for schools and have
made the choice to invest in them and make them strong, which is
noteworthy. It is vitally important that these choices are celebrated and
that more make similar choices.</t>
  </si>
  <si>
    <t>Families all across North Carolina send their children to their local public
 school – in fact, the vast majority of them do choose public education.
 They entrust their children to the educators whose bright faces greet
 them each morning. They build community around high school football
 games and middle school band performances. Each year, thousands of
 students walk across stages to cheers and tears as they are prepared to
 go out and lead the life they choose. Our schools did not become bright
 beacons of hope all on their own. Generations of North Carolinians are
 proud of our public schools, share their support for schools and have
 made the choice to invest in them and make them strong, which is
 noteworthy. It is vitally important that these choices are celebrated and
 that more make similar choices.</t>
  </si>
  <si>
    <t>P8</t>
  </si>
  <si>
    <t>Galvanize Champions to Fully Invest in and Support Public Education</t>
  </si>
  <si>
    <t>Galvanize Champions to Fully Invest In</t>
  </si>
  <si>
    <t>and Support Public Education</t>
  </si>
  <si>
    <t>https://go.ncdpi.gov/PillarEight</t>
  </si>
  <si>
    <t>North Carolina’s journey toward educational excellence requires more
than vision and strategy — it demands the engagement, advocacy and
investment of champions across our state who recognize public education
as the cornerstone of our shared prosperity and collective future. This
pillar builds upon efforts to transform the narrative around public schools
by converting positive perception into concrete action by aligning
partners behind a unified commitment to educational excellence. We
envision a powerful network of non-education partners who bring fresh
perspectives, resources and influence to advocacy efforts.
By developing a formal alliance of nonprofit, philanthropic and business
champions, we can systematically advocate for increased public school
investments, particularly for critical infrastructure needs and competitive
educator compensation. By elevating authentic stories from local
communities, we will showcase the remarkable achievements occurring
daily in classrooms across North Carolina, creating connections that
inspire deeper engagement while honestly acknowledging challenges
and transparently communicating our strategies to address them.
By galvanizing champions across every sector of our state — from
rural communities to urban centers, from small businesses to major
corporations, from parents to retirees — we create a force for educational
investment and improvement that propels North Carolina’s public schools
to be recognized as the very best in the nation, fulfilling our obligation to
provide every child the world-class education they deserve.</t>
  </si>
  <si>
    <t>North Carolina’s journey toward educational excellence requires more than vision and strategy — it demands the engagement, advocacy and investment of champions across our state who recognize public education as the cornerstone of our shared prosperity and collective future. This pillar builds upon efforts to transform the narrative around public schools by converting positive perception into concrete action by aligning partners behind a unified commitment to educational excellence. We envision a powerful network of non-education partners who bring fresh perspectives, resources and influence to advocacy efforts. By developing a formal alliance of nonprofit, philanthropic and business champions, we can systematically advocate for increased public school investments, particularly for critical infrastructure needs and competitive educator compensation. By elevating authentic stories from local communities, we will showcase the remarkable achievements occurring daily in classrooms across North Carolina, creating connections that inspire deeper engagement while honestly acknowledging challenges and transparently communicating our strategies to address them. By galvanizing champions across every sector of our state — from rural communities to urban centers, from small businesses to major corporations, from parents to retirees — we create a force for educational investment and improvement that propels North Carolina’s public schools to be recognized as the very best in the nation, fulfilling our obligation to provide every child the world-class education they deserve.</t>
  </si>
  <si>
    <t>FocusAreaID</t>
  </si>
  <si>
    <t>FocusAreaNum</t>
  </si>
  <si>
    <t>FocusAreaName</t>
  </si>
  <si>
    <t>P1.F1</t>
  </si>
  <si>
    <t>Ignite early learning</t>
  </si>
  <si>
    <t>P1.F2</t>
  </si>
  <si>
    <t>Elevate teaching and learning</t>
  </si>
  <si>
    <t>P1.F3</t>
  </si>
  <si>
    <t>Promote excellence for all</t>
  </si>
  <si>
    <t>P1.F4</t>
  </si>
  <si>
    <t>Reimagine the student experience</t>
  </si>
  <si>
    <t>P1.F5</t>
  </si>
  <si>
    <t>Launch life-ready graduates</t>
  </si>
  <si>
    <t>P2.F1</t>
  </si>
  <si>
    <t>Improve educator recruitment and retention</t>
  </si>
  <si>
    <t>P2.F2</t>
  </si>
  <si>
    <t>Expand career pathways for education professionals</t>
  </si>
  <si>
    <t>P2.F3</t>
  </si>
  <si>
    <t>Increase educator compensation</t>
  </si>
  <si>
    <t>P2.F4</t>
  </si>
  <si>
    <t>Elevate and restore pride in the education profession</t>
  </si>
  <si>
    <t>P3.F1</t>
  </si>
  <si>
    <t>Engage and empower families</t>
  </si>
  <si>
    <t>P3.F2</t>
  </si>
  <si>
    <t>Strengthen community partnerships</t>
  </si>
  <si>
    <t>P4.F1</t>
  </si>
  <si>
    <t>Ensure safe school environments</t>
  </si>
  <si>
    <t>P4.F2</t>
  </si>
  <si>
    <t>Improve student and staff health and well-being</t>
  </si>
  <si>
    <t>P5.F1</t>
  </si>
  <si>
    <t>Improve NCDPI’s services to stakeholders</t>
  </si>
  <si>
    <t>P5.F2</t>
  </si>
  <si>
    <t>Improve collaboration and communication across NCDPI offices</t>
  </si>
  <si>
    <t>P5.F3</t>
  </si>
  <si>
    <t>Modernize NCDPI and PSU operations</t>
  </si>
  <si>
    <t>P6.F1</t>
  </si>
  <si>
    <t>Transform schools through research and development</t>
  </si>
  <si>
    <t>P6.F2</t>
  </si>
  <si>
    <t>Connect North Carolina public schools through education networks</t>
  </si>
  <si>
    <t>P6.F3</t>
  </si>
  <si>
    <t>Promote integrated support systems for schools and districts</t>
  </si>
  <si>
    <t>P6.F4</t>
  </si>
  <si>
    <t>Explore accountability and funding reform</t>
  </si>
  <si>
    <t>P7.F1</t>
  </si>
  <si>
    <t>Develop comprehensive public education messaging</t>
  </si>
  <si>
    <t>P7.F2</t>
  </si>
  <si>
    <t>Engage partners on education</t>
  </si>
  <si>
    <t>P7.F3</t>
  </si>
  <si>
    <t>Share public education messaging and stories</t>
  </si>
  <si>
    <t>P8.F1</t>
  </si>
  <si>
    <t>Build community voices</t>
  </si>
  <si>
    <t>P8.F2</t>
  </si>
  <si>
    <t>Promote engagement initiatives</t>
  </si>
  <si>
    <t>P8.F3</t>
  </si>
  <si>
    <t>Move champions to action</t>
  </si>
  <si>
    <t>MeasureID</t>
  </si>
  <si>
    <t>BestInNationGoal</t>
  </si>
  <si>
    <t>MeasureName</t>
  </si>
  <si>
    <t>MeasureLbl</t>
  </si>
  <si>
    <t>MeasureGoal</t>
  </si>
  <si>
    <t>MeasureSort</t>
  </si>
  <si>
    <t>P1.M1</t>
  </si>
  <si>
    <t>Cohort Graduation Rate</t>
  </si>
  <si>
    <t>CGRS</t>
  </si>
  <si>
    <t>Increase the adjusted four-year cohort high school graduation rate to 92% by 2030.</t>
  </si>
  <si>
    <t>P1.M2</t>
  </si>
  <si>
    <t>ACT Composite Score</t>
  </si>
  <si>
    <t>ACT</t>
  </si>
  <si>
    <t>Increase the average ACT composite score to 20 by 2030.</t>
  </si>
  <si>
    <t>P1.M3</t>
  </si>
  <si>
    <t>AP Participation</t>
  </si>
  <si>
    <t>AP Part</t>
  </si>
  <si>
    <t>Increase the Advanced Placement (AP) participation rate among 10th, 11th and 12th grade students to 29% by 2030.</t>
  </si>
  <si>
    <t>P1.M4</t>
  </si>
  <si>
    <t>AP Performance</t>
  </si>
  <si>
    <t>AP Pass</t>
  </si>
  <si>
    <t>Increase the percentage of 10th, 11th and 12th grade students who pass an AP exam with a score of 3, 4, or 5 to 75% by 2030.</t>
  </si>
  <si>
    <t>P1.M5</t>
  </si>
  <si>
    <t>AP At Least 1 Course</t>
  </si>
  <si>
    <t>Establish a baseline and increase the percentage of high school students enrolled in at least one AP course.</t>
  </si>
  <si>
    <t>P1.M6</t>
  </si>
  <si>
    <t>Dual Enrollment Participation</t>
  </si>
  <si>
    <t>Dual Part</t>
  </si>
  <si>
    <t>Increase the percentage of high school graduates that enroll in at least one dual enrollment course to 41% by 2030.</t>
  </si>
  <si>
    <t>P1.M7</t>
  </si>
  <si>
    <t>Dual Enrollment Credit</t>
  </si>
  <si>
    <t>Dual Credit</t>
  </si>
  <si>
    <t>Increase the percentage of high school graduates who earn high school credit through dual enrollment courses to 41% by 2030.</t>
  </si>
  <si>
    <t>P1.M8</t>
  </si>
  <si>
    <t>CTE Participation</t>
  </si>
  <si>
    <t>CTE Part</t>
  </si>
  <si>
    <t>Increase the percentage of all students participating in a CTE course to 41% by 2030.</t>
  </si>
  <si>
    <t>P1.M9</t>
  </si>
  <si>
    <t>CTE Credentials</t>
  </si>
  <si>
    <t>CTE Cred</t>
  </si>
  <si>
    <t>Increase the number of CTE credentials earned by students yearly to 500,000 by 2030.</t>
  </si>
  <si>
    <t>P1.M10</t>
  </si>
  <si>
    <t>Proficiency</t>
  </si>
  <si>
    <t>Increase the percentage of students scoring levels 3, 4 or 5 on the End of Grade (EOG) and End of Course (EOC) tests.</t>
  </si>
  <si>
    <t>P1.M11</t>
  </si>
  <si>
    <t>NAEP Grade 4 Reading</t>
  </si>
  <si>
    <t>NAEP Read G4</t>
  </si>
  <si>
    <t>Increase the average scale score on the 4th grade reading NAEP assessment to 225 by 2030.</t>
  </si>
  <si>
    <t>P1.M12</t>
  </si>
  <si>
    <t>NAEP Grade 8 Reading</t>
  </si>
  <si>
    <t>NAEP Read G8</t>
  </si>
  <si>
    <t>Increase the average scale score on the 8th grade reading NAEP assessment to 268 by 2030.</t>
  </si>
  <si>
    <t>P1.M13</t>
  </si>
  <si>
    <t>NAEP Grade 4 Math</t>
  </si>
  <si>
    <t>NAEP Math G4</t>
  </si>
  <si>
    <t>Increase the average scale score on the 4th grade math NAEP assessment to 246 by 2030.</t>
  </si>
  <si>
    <t>P1.M14</t>
  </si>
  <si>
    <t>NAEP Grade 8 Math</t>
  </si>
  <si>
    <t>NAEP Math G8</t>
  </si>
  <si>
    <t>Increase the average scale score on the 8th grade math NAEP assessment to 283 by 2030.</t>
  </si>
  <si>
    <t>P1.M15</t>
  </si>
  <si>
    <t>Schools of Character</t>
  </si>
  <si>
    <t>Character</t>
  </si>
  <si>
    <t>Increase the number of North Carolina public schools recognized as National Schools of Character by Character.org (now CharacterPlus).</t>
  </si>
  <si>
    <t>P1.M16</t>
  </si>
  <si>
    <t>Durable Skill Programs</t>
  </si>
  <si>
    <t>Establish a baseline and increase the number of schools implementing high-quality character, service-learning and civic programs that reinforce durable skills.</t>
  </si>
  <si>
    <t>P1.M17</t>
  </si>
  <si>
    <t>Disproportionate EC and AIG</t>
  </si>
  <si>
    <t>Establish a baseline and decrease disproportionality in identification of students for Exceptional Children (EC) and Academically/Intellectually Gifted (AIG) programs.</t>
  </si>
  <si>
    <t>P2.M1</t>
  </si>
  <si>
    <t>Teacher Recruitment Programs</t>
  </si>
  <si>
    <t>Establish a baseline and increase the proportion of students completing teaching recruitment programs including “Teaching as a Profession” CTE pathways and who pursue teacher preparation after graduation.</t>
  </si>
  <si>
    <t>P2.M2</t>
  </si>
  <si>
    <t>EPP Enrollment</t>
  </si>
  <si>
    <t>Establish a baseline and increase the number of teacher candidates enrolling in and completing traditional educator-preparation programs (EPPs).</t>
  </si>
  <si>
    <t>P2.M3</t>
  </si>
  <si>
    <t>Early-Career Retention</t>
  </si>
  <si>
    <t>Establish a baseline and increase retention of beginning teachers and early-career administrators, especially in low-performing and high-poverty schools.</t>
  </si>
  <si>
    <t>P2.M4</t>
  </si>
  <si>
    <t>Advanced Teaching Rolese</t>
  </si>
  <si>
    <t>Establish a baseline and increase the number of PSUs implementing Advanced Teaching Roles (ATR), as well as the number of teachers serving in advanced roles that support peer learning.</t>
  </si>
  <si>
    <t>P2.M5</t>
  </si>
  <si>
    <t>Starting Teacher Pay</t>
  </si>
  <si>
    <t>Increase North Carolina’s starting teacher pay, including local supplements, so that it is the highest in the Southeast ($50,031 for 2023-24).</t>
  </si>
  <si>
    <t>P2.M6</t>
  </si>
  <si>
    <t>Average Teacher Pay</t>
  </si>
  <si>
    <t>Increase North Carolina’s average teacher pay, including local supplements, so that it is the highest in the Southeast ($67 ,641 for 2023-24).</t>
  </si>
  <si>
    <t>P2.M7</t>
  </si>
  <si>
    <t>Principal Pay</t>
  </si>
  <si>
    <t>Increase North Carolina principal pay to account for school complexity and to reward retention.</t>
  </si>
  <si>
    <t>P2.M8</t>
  </si>
  <si>
    <t>School Support Stuff Pay</t>
  </si>
  <si>
    <t>Increase North Carolina school support staff pay.</t>
  </si>
  <si>
    <t>P3.M1</t>
  </si>
  <si>
    <t>Family Engagement Programs</t>
  </si>
  <si>
    <t>Establish a baseline and increase the number of schools and districts that have developed and implemented comprehensive family engagement policies and activities.</t>
  </si>
  <si>
    <t>P3.M2</t>
  </si>
  <si>
    <t>Parent and Community Resources</t>
  </si>
  <si>
    <t>Establish a baseline and increase access to NCDPI parent and community resources.</t>
  </si>
  <si>
    <t>P3.M3</t>
  </si>
  <si>
    <t>Integrated Support Models</t>
  </si>
  <si>
    <t xml:space="preserve">Establish a baseline and increase the number of PSUs implementing integrated support models that remove non-academic barriers and improve student well-being and perceptions of school. </t>
  </si>
  <si>
    <t>P4.M1</t>
  </si>
  <si>
    <t>Secure Schools</t>
  </si>
  <si>
    <t>Establish a baseline and increase the number of schools working with NCDPI to implement perimeter control, secured access points management and protected internal spaces across PSUs.</t>
  </si>
  <si>
    <t>P4.M2</t>
  </si>
  <si>
    <t>School Resource Officers</t>
  </si>
  <si>
    <t>Establish a baseline and increase the number of trained school resource officers (SROs) to support a safe school environment.</t>
  </si>
  <si>
    <t>P4.M3</t>
  </si>
  <si>
    <t xml:space="preserve">Youth Mental Health </t>
  </si>
  <si>
    <t>Establish a baseline and increase the proportion of school personnel certified in Youth Mental Health First Aid.</t>
  </si>
  <si>
    <t>P4.M4</t>
  </si>
  <si>
    <t>Chronic Absenteeism</t>
  </si>
  <si>
    <t>Establish a baseline and decrease chronic absenteeism rates across PSUs.</t>
  </si>
  <si>
    <t>P4.M5</t>
  </si>
  <si>
    <t>Medicaid Revenue</t>
  </si>
  <si>
    <t>Establish a baseline and increase Medicaid revenue for eligible school-based services across PSUs while reducing the administrative processing time.</t>
  </si>
  <si>
    <t>P4.M6</t>
  </si>
  <si>
    <t>Youth Risk Behavior Survey</t>
  </si>
  <si>
    <t>Based on Youth Risk Behavior Survey (YRBS) data, establish a baseline and increase the percentage of high school students who a) most of the time or always feel safe and secure at school and b) strongly agree or agree that they feel like they belong at their school; and decrease the percentage of high school students who a) reported that their mental health was most of the time or always not good and b) felt sad or hopeless.</t>
  </si>
  <si>
    <t>P4.M7</t>
  </si>
  <si>
    <t>School Violence</t>
  </si>
  <si>
    <t xml:space="preserve">Increase the percentage of schools reporting none to a limited number of incidents of violence annually. </t>
  </si>
  <si>
    <t>P5.M1</t>
  </si>
  <si>
    <t>NCDPI Customer Service</t>
  </si>
  <si>
    <t>Establish a baseline satisfaction index among PSU central office staff and increase satisfaction according to the DPI Customer Service Survey (as defined below), ensuring representativeness of survey responses and achieving a ≥70% response rate.</t>
  </si>
  <si>
    <t>P5.M2</t>
  </si>
  <si>
    <t>NC Student Information System</t>
  </si>
  <si>
    <t>All PSUs are live on the North Carolina Student Information System powered by Infinite Campus (NCSIS) with minimal critical incident rate in the first year of full implementation.</t>
  </si>
  <si>
    <t>P5.M3</t>
  </si>
  <si>
    <t>Financial and Human Resource Systems</t>
  </si>
  <si>
    <t>Establish a baseline and increase the number of PSUs that adopt modernized financial and human resources systems.</t>
  </si>
  <si>
    <t>P5.M4</t>
  </si>
  <si>
    <t>Data Analytic Tools</t>
  </si>
  <si>
    <t>Establish a baseline and increase the percentage of PSUs using data analytic tools for student, finance and business data.</t>
  </si>
  <si>
    <t>P5.M5</t>
  </si>
  <si>
    <t>Statewide Technology Expenditures</t>
  </si>
  <si>
    <t>Establish a baseline and decrease total statewide technology contract expenditures by renegotiating or discontinuing contracts that fall below established return on investment benchmarks and redirect the savings to high-impact, evidence-based tools. [P5.M5] At the core of this.</t>
  </si>
  <si>
    <t>P6.M1</t>
  </si>
  <si>
    <t>Low-performing Schools &amp; PSUs</t>
  </si>
  <si>
    <t>Establish a baseline and decrease the number of identified lowperforming schools and PSUs annually.</t>
  </si>
  <si>
    <t>P6.M2</t>
  </si>
  <si>
    <t>Assessment Tools</t>
  </si>
  <si>
    <t>Establish a baseline and increase PSU use of assessment tools that provide timely, actionable information and multiple measures of learning.</t>
  </si>
  <si>
    <t>P6.M3</t>
  </si>
  <si>
    <t>Partner Networks</t>
  </si>
  <si>
    <t>Establish a baseline and increase the number of active NCDPI, PSU and partner networks collaborating on the implementation of Strategic Plan.</t>
  </si>
  <si>
    <t>P7.M1</t>
  </si>
  <si>
    <t>Communicators</t>
  </si>
  <si>
    <t>Establish a baseline and increase the number of public information officers (PIOs) and other PSU communicators engaged in this initiative.</t>
  </si>
  <si>
    <t>P7.M2</t>
  </si>
  <si>
    <t>Communication Professional Development</t>
  </si>
  <si>
    <t>Establish a baseline and increase the number of professional development opportunities provided for PIOs and NCDPI partners to use shared messaging and materials.</t>
  </si>
  <si>
    <t>P7.M3</t>
  </si>
  <si>
    <t>Family Satisfaction</t>
  </si>
  <si>
    <t>Establish a baseline and increase family, student and community satisfaction, knowledge and perception of public schools.</t>
  </si>
  <si>
    <t>P7.M4</t>
  </si>
  <si>
    <t>Collaborating Celebrants</t>
  </si>
  <si>
    <t xml:space="preserve">Establish a baseline and increase the number of NCDPI staff and education partners working in collaboration on celebrating public education. </t>
  </si>
  <si>
    <t>P8.M1</t>
  </si>
  <si>
    <t>Per Pupil Funding</t>
  </si>
  <si>
    <t>Increase state and local investments in public schools so that per pupil funding increases by 10% (over 2023 levels) by 2030.</t>
  </si>
  <si>
    <t>P8.M2</t>
  </si>
  <si>
    <t>Public School Enrollment</t>
  </si>
  <si>
    <t>Enrollment</t>
  </si>
  <si>
    <t xml:space="preserve">Increase the percentage of school-aged children enrolled in public schools to 89% by 2030. </t>
  </si>
  <si>
    <t>MeasureMenuKey</t>
  </si>
  <si>
    <t>MeasureMenu</t>
  </si>
  <si>
    <t>MeasureSubMenu</t>
  </si>
  <si>
    <t>Measure ID</t>
  </si>
  <si>
    <t>MeasureMenuTooltip</t>
  </si>
  <si>
    <t>GRADUATION</t>
  </si>
  <si>
    <t>How many our our students graduate from high school?</t>
  </si>
  <si>
    <t>How do our 11th-graders score on the national ACT assessment?</t>
  </si>
  <si>
    <t>AP</t>
  </si>
  <si>
    <t>Participation</t>
  </si>
  <si>
    <t>How many of our high school students earn college credit by passing Advanced Placement exams?</t>
  </si>
  <si>
    <t>Performance</t>
  </si>
  <si>
    <t>DUAL ENROLL</t>
  </si>
  <si>
    <t>How many of our high school students earn credit in dual enrollment programs with local colleges?</t>
  </si>
  <si>
    <t>Credit</t>
  </si>
  <si>
    <t>CTE</t>
  </si>
  <si>
    <t>How many of our high school students  earn credits in Career and Technical Education programs?</t>
  </si>
  <si>
    <t>Credentials</t>
  </si>
  <si>
    <t>READING</t>
  </si>
  <si>
    <t>Grade 4</t>
  </si>
  <si>
    <t>How do our 4th- and 8th-graders score in reading on the National Assessment of Educational Progress?</t>
  </si>
  <si>
    <t>Grade 8</t>
  </si>
  <si>
    <t>MATH</t>
  </si>
  <si>
    <t>How do our 4th- and 8th-graders score in math on the National Assessment of Educational Progress?</t>
  </si>
  <si>
    <t>CHARACTER</t>
  </si>
  <si>
    <t>TBD</t>
  </si>
  <si>
    <t>ENROLLMENT</t>
  </si>
  <si>
    <t>How many school-aged children are enrolled in NC public schools?</t>
  </si>
  <si>
    <t>focus_id</t>
  </si>
  <si>
    <t>ActionID</t>
  </si>
  <si>
    <t>ActionName</t>
  </si>
  <si>
    <t>ActionDesc</t>
  </si>
  <si>
    <t>ActionDescWrap</t>
  </si>
  <si>
    <t>ActionLaunchDate</t>
  </si>
  <si>
    <t>ActionLaunchText</t>
  </si>
  <si>
    <t>ActionDescLine1</t>
  </si>
  <si>
    <t>ActionDescLine2</t>
  </si>
  <si>
    <t>ActionDescLine3</t>
  </si>
  <si>
    <t>ActionDescLine4</t>
  </si>
  <si>
    <t>ActionDescLine5</t>
  </si>
  <si>
    <t>ActionDescLine 6</t>
  </si>
  <si>
    <t>F1</t>
  </si>
  <si>
    <t>P1.F1.A1</t>
  </si>
  <si>
    <t>Expand Pre-K &amp; Kindergarten Readiness</t>
  </si>
  <si>
    <t>Expand high-quality pre-K and strengthen kindergarten readiness by partnering with North Carolina Department of Health and Human Services (NCDHHS) and PSUs to align standards, coordinate inclusive early learning systems and enhance transition supports.</t>
  </si>
  <si>
    <t>P1.F1.A2</t>
  </si>
  <si>
    <t>Science of Reading &amp; Math Foundations</t>
  </si>
  <si>
    <t>Build on the implementation of North Carolina’s Science of Reading initiative by continuing to expand high-impact literacy practices and launch a parallel focus on foundational mathematics to support early learning.</t>
  </si>
  <si>
    <t>P1.F1.A3</t>
  </si>
  <si>
    <t>Increase Play-Based Learning</t>
  </si>
  <si>
    <t>Explore how to increase play-based learning in early childhood classrooms to better foster children’s social, emotional, cognitive and physical development.</t>
  </si>
  <si>
    <t>F2</t>
  </si>
  <si>
    <t>P1.F2.A1</t>
  </si>
  <si>
    <t>Golden LEAF Schools Initiative</t>
  </si>
  <si>
    <t>Implement the Golden LEAF Schools Initiative through cross-agency collaboration to transform educator practice and student outcomes in rural schools, focusing on high-quality mathematics instruction via the High Reliability Schools model.</t>
  </si>
  <si>
    <t>P1.F2.A2</t>
  </si>
  <si>
    <t>Strengthen Digital Learning &amp; Literacy</t>
  </si>
  <si>
    <t>Strengthen digital learning and literacy pre-K–12 by developing high-quality, standards-aligned online content; formalizing NCDPI’s approach to supporting PSUs with a data-driven framework for effective digital and personalized learning environments; and continuing to guide the responsible use of artificial intelligence.</t>
  </si>
  <si>
    <t>P1.F2.A3</t>
  </si>
  <si>
    <t>PreK-12 Teaching &amp; Learning Framework</t>
  </si>
  <si>
    <t>Design a Pre-K–12 Teaching and Learning Framework with PSUs to set shared expectations for standards-aligned instruction, integrated supports and access to high-quality learning for all students.</t>
  </si>
  <si>
    <t>F3</t>
  </si>
  <si>
    <t>P1.F3.A1</t>
  </si>
  <si>
    <t>Expand Rigorous Pathways Access</t>
  </si>
  <si>
    <t>Support PSUs in expanding access to rigorous pathways, such as AP, International Baccalaureate (IB), Cambridge International, Career and College Promise (CCP), credentialed Career and Technical Education (CTE) and Junior Reserve Officers’ Training Corps (JROTC), to ensure every student takes and passes a college level and career-connected course.</t>
  </si>
  <si>
    <t>P1.F3.A2</t>
  </si>
  <si>
    <t>Expand Advanced Learning Opportunities</t>
  </si>
  <si>
    <t>Expand access to advanced learning opportunities K-12, including North Carolina Governor’s School and K-8 talent development programming, aligned to student strengths, interests and career pathways.</t>
  </si>
  <si>
    <t>P1.F3.A3</t>
  </si>
  <si>
    <t>Reduce Disproportionality in Services</t>
  </si>
  <si>
    <t>Promote appropriate screening, identification practices and policy shifts that reduce disproportionality in AIG and EC services and expand instructional support for multilingual learners across North Carolina schools.</t>
  </si>
  <si>
    <t>P1.F3.A4</t>
  </si>
  <si>
    <t>ACT Preparation Course</t>
  </si>
  <si>
    <t>Explore opportunities to have high school students take an ACT preparation course prior to taking the ACT in the 11th grade.</t>
  </si>
  <si>
    <t>F4</t>
  </si>
  <si>
    <t>P1.F4.A1</t>
  </si>
  <si>
    <t>Promote College Access Programs</t>
  </si>
  <si>
    <t>Promote awareness of NC College Connect, NextNC and the NC Need Based Scholarship to provide direct admission to North Carolina colleges and universities and financial aid to support the cost of attendance.</t>
  </si>
  <si>
    <t>P1.F4.A2</t>
  </si>
  <si>
    <t>Career Development Plans</t>
  </si>
  <si>
    <t>Provide PSUs with technical assistance to implement Career Development Plans so students graduate with a purposeful plan for their future.</t>
  </si>
  <si>
    <t>P1.F4.A3</t>
  </si>
  <si>
    <t>Strengthen Grade-Level Transitions</t>
  </si>
  <si>
    <t>Identify strategies for PSUs to strengthen grade-level transitions through coordinated planning, advising and personalized pathways between pre-K, elementary, middle and high school.</t>
  </si>
  <si>
    <t>P1.F4.A4</t>
  </si>
  <si>
    <t>Expand Arts, Athletics &amp; Leadership</t>
  </si>
  <si>
    <t>Promote whole-child development and student engagement by expanding access to arts, athletics and student-led leadership opportunities that are aligned to academic standards and designed to cultivate students’ strengths, interests and well-being.</t>
  </si>
  <si>
    <t>P1.F4.A5</t>
  </si>
  <si>
    <t>Embed AI Safely &amp; Ethically</t>
  </si>
  <si>
    <t>Establish scalable approaches to embed artificial intelligence safely, responsibly and ethically, and ensure collaborative problem-solving is included in the learning experience.</t>
  </si>
  <si>
    <t>P1.F4.A6</t>
  </si>
  <si>
    <t>Monitor Credits Toward Graduation</t>
  </si>
  <si>
    <t>Provide PSUs with technical assistance to monitor credits toward graduation to support PSUs with keeping students on track for graduation.</t>
  </si>
  <si>
    <t>F5</t>
  </si>
  <si>
    <t>P1.F5.A1</t>
  </si>
  <si>
    <t>Character Education Toolkit</t>
  </si>
  <si>
    <t>Develop a statewide toolkit to support schools in implementing high-quality character education that teaches students to be good citizens, as well as important values, such as respect, responsibility, integrity, perseverance, courage, justice and self-discipline.</t>
  </si>
  <si>
    <t>P1.F5.A2</t>
  </si>
  <si>
    <t>Expand Service Learning Programs</t>
  </si>
  <si>
    <t>Explore ways to expand service learning programs for students to ensure every student has access to service learning opportunities.</t>
  </si>
  <si>
    <t>P1.F5.A3</t>
  </si>
  <si>
    <t>Track Postsecondary Transitions</t>
  </si>
  <si>
    <t>Develop a system for tracking students’ postsecondary transitions, including to postsecondary education, employment or military service within 12 months of graduation.</t>
  </si>
  <si>
    <t>P1.F5.A4</t>
  </si>
  <si>
    <t>Service Learning Awards &amp; Endorsements</t>
  </si>
  <si>
    <t>Create awards for student service learning projects at the school and district levels, as well as a state-level high school diploma endorsement from NCDPI.</t>
  </si>
  <si>
    <t>P1.F5.A5</t>
  </si>
  <si>
    <t>Durable Skills Endorsements</t>
  </si>
  <si>
    <t>Create and award durable skills endorsements for graduating students who demonstrate mastery of critical competencies aligned to the Portrait of a Graduate.</t>
  </si>
  <si>
    <t>P2.F1.A1</t>
  </si>
  <si>
    <t>Expand Teacher Recruitment Programs</t>
  </si>
  <si>
    <t>Expand student recruitment programs starting no later than middle school, such as career academy programs, “Teaching as a Profession” CTE pathways and other programs to encourage more students to engage in the education profession.</t>
  </si>
  <si>
    <t>P2.F1.A2</t>
  </si>
  <si>
    <t>Strengthen Beginning Teacher Support</t>
  </si>
  <si>
    <t>Revise and strengthen Beginning Teacher (BT) policy and supports, including exploring a standard statewide definition of BTs and regionalized support approaches with partners.</t>
  </si>
  <si>
    <t>P2.F1.A3</t>
  </si>
  <si>
    <t>Professional Learning Standards</t>
  </si>
  <si>
    <t>Develop, adopt and promote statewide standards for high-quality professional learning to serve as guidance for the design and evaluation of professional learning opportunities, including microcredentials.</t>
  </si>
  <si>
    <t>P2.F1.A4</t>
  </si>
  <si>
    <t>Expand Teacher Pipeline &amp; Reduce Barriers</t>
  </si>
  <si>
    <t>Advocate for expanding the teacher pipeline and lowering financial barriers to entering the profession, in partnership with EPPs.</t>
  </si>
  <si>
    <t>P2.F2.A1</t>
  </si>
  <si>
    <t>Expand Advanced Teaching Roles</t>
  </si>
  <si>
    <t>Advocate for continued expansion of the Advanced Teaching Roles program. valid and reliable measures of teacher impact and effectiveness.</t>
  </si>
  <si>
    <t>P2.F2.A2</t>
  </si>
  <si>
    <t>Uniform Instructional Coaching Model</t>
  </si>
  <si>
    <t>Develop a uniform NCDPI model for instructional coaching that integrates literacy, numeracy and supports for low-performing schools.</t>
  </si>
  <si>
    <t>P2.F2.A3</t>
  </si>
  <si>
    <t>Expand Leadership Academies</t>
  </si>
  <si>
    <t>Continue to expand leadership academies in collaboration with state and regional partners for aspiring principals and superintendents, particularly in high-poverty and low-performing schools and provide specialized professional learning for financial officers and charter leaders to strengthen strategic management.</t>
  </si>
  <si>
    <t>P2.F3.A1</t>
  </si>
  <si>
    <t>Advocate for Competitive Compensation</t>
  </si>
  <si>
    <t>Advocate to the North Carolina General Assembly, in partnership with educators, business leaders and community leaders, for competitive teacher, principal and other school staff compensation, including pay for advanced degrees.</t>
  </si>
  <si>
    <t>P2.F3.A2</t>
  </si>
  <si>
    <t>Revise Principal Compensation Model</t>
  </si>
  <si>
    <t>Develop and advocate for a revised principal compensation model with partners that includes increased base pay, factors for school complexity and retention incentives to better attract and keep leaders in the schools that need them most.</t>
  </si>
  <si>
    <t>P2.F4.A1</t>
  </si>
  <si>
    <t>Recognize Educator Excellence</t>
  </si>
  <si>
    <t>Engage with local boards of education to honor teachers and principals of the year, expand meaningful advisor roles for students, teachers and principals at the district and state levels and identify additional ways to publicly recognize educator excellence.</t>
  </si>
  <si>
    <t>P2.F4.A2</t>
  </si>
  <si>
    <t>Reduce Teacher Burden Models</t>
  </si>
  <si>
    <t>Explore models that increase instructional capacity by reducing burden on teachers, including eliminating or significantly reducing unpaid teacher duties, streamlining compliance processes, increasing teacher planning time and increasing flexible scheduling.</t>
  </si>
  <si>
    <t>P2.F4.A3</t>
  </si>
  <si>
    <t>Teacher Reverence Initiative</t>
  </si>
  <si>
    <t>Launch a statewide teacher reverence initiative that highlights educator stories and contributions, trains educators to serve as recruiters of future teachers and partners with local chambers of commerce and community organizations to celebrate and support local public school educators.</t>
  </si>
  <si>
    <t>P3.F1.A1</t>
  </si>
  <si>
    <t>Translate NCDPI Resources</t>
  </si>
  <si>
    <t>Identify ways to develop translations of NCDPI resources based on student demographics.</t>
  </si>
  <si>
    <t>P3.F1.A2</t>
  </si>
  <si>
    <t>Assess Parent &amp; Community Resources</t>
  </si>
  <si>
    <t>Conduct a comprehensive needs assessment of parent and community resources at NCDPI (personnel, funds, training, instruments, current activities, etc.).</t>
  </si>
  <si>
    <t>P3.F1.A3</t>
  </si>
  <si>
    <t>Family Engagement Advisory Group</t>
  </si>
  <si>
    <t>Form an advisory group to play a role in needs identification, decision-making and plans to enhance parent, family and community engagement.</t>
  </si>
  <si>
    <t>P3.F1.A4</t>
  </si>
  <si>
    <t>Share School-Family Communication Best Practices</t>
  </si>
  <si>
    <t>Promote collaboration and partner with PSUs to share best practices on effective communication between schools and families.</t>
  </si>
  <si>
    <t>P3.F1.A5</t>
  </si>
  <si>
    <t>Virtual NCDPI Family Academy</t>
  </si>
  <si>
    <t>Create a virtual NCDPI Family Academy that could be linked to PSU websites that will offer accessible, webinar-style learning sessions for families.</t>
  </si>
  <si>
    <t>P3.F2.A1</t>
  </si>
  <si>
    <t>Engage Philanthropic &amp; Business Support</t>
  </si>
  <si>
    <t>Engage philanthropic and business communities to fund and support research and adoption of innovative school models.</t>
  </si>
  <si>
    <t>P3.F2.A2</t>
  </si>
  <si>
    <t>PSU-Community Partnerships</t>
  </si>
  <si>
    <t>Promote partnerships between PSUs and local community organizations to provide support for families, especially in underserved areas.</t>
  </si>
  <si>
    <t>P3.F2.A3</t>
  </si>
  <si>
    <t>Support Community Bridge Educators</t>
  </si>
  <si>
    <t>Increase NCDPI supports for the educators who serve as a bridge to the local community, such as nurses, counselors, social workers, school psychologists and parent liaisons.</t>
  </si>
  <si>
    <t>P3.F2.A4</t>
  </si>
  <si>
    <t>Advocate for Community Schools Model</t>
  </si>
  <si>
    <t>Advocate for evidence-based school models, such as “community schools, ” that reduce barriers by promoting community resources to support student and family well-being.</t>
  </si>
  <si>
    <t>P3.F2.A5</t>
  </si>
  <si>
    <t>Share Health Partnership Best Practices</t>
  </si>
  <si>
    <t>Identify and share best practices around partnerships between PSUs and local health professionals for providing mental and physical health supports to students and staff.</t>
  </si>
  <si>
    <t>P4.F1.A1</t>
  </si>
  <si>
    <t>Strengthen Physical Security</t>
  </si>
  <si>
    <t>Strengthen physical security measures in PSUs, such as perimeter control, secured access points and protected internal spaces, through school construction assistance provided by NCDPI.</t>
  </si>
  <si>
    <t>P4.F1.A2</t>
  </si>
  <si>
    <t>Secure Online Learning Environments</t>
  </si>
  <si>
    <t>Support PSUs in creating safe and secure online learning environments by providing tools, best practices and advanced training for educators on virtual classrooms and secure online interactions.</t>
  </si>
  <si>
    <t>P4.F1.A3</t>
  </si>
  <si>
    <t>Train SROs for Schools</t>
  </si>
  <si>
    <t>Encourage PSUs that utilize SROs to ensure all SROs receive training appropriate for working with school-aged children, in collaboration with the Governor’s Advisory Council for Student Safety and Well-Being and local law enforcement agencies.</t>
  </si>
  <si>
    <t>P4.F2.A1</t>
  </si>
  <si>
    <t>Limit Wireless Device Distractions</t>
  </si>
  <si>
    <t>Guide PSUs to identify and apply best practices to limit distractions from wireless devices and promote responsible social media use to support safe and focused learning environments.</t>
  </si>
  <si>
    <t>P4.F2.A2</t>
  </si>
  <si>
    <t>Reduce Chronic Absenteeism</t>
  </si>
  <si>
    <t>Identify and share effective practices for reducing chronic absenteeism and strengthening student attendance.</t>
  </si>
  <si>
    <t>P4.F2.A3</t>
  </si>
  <si>
    <t>Whole School, Whole Community Model</t>
  </si>
  <si>
    <t>Promote student and staff well-being by supporting PSUs in implementing Whole School, Whole Community, Whole Child models to foster positive school climates and elevate student voice and belonging.</t>
  </si>
  <si>
    <t>P4.F2.A4</t>
  </si>
  <si>
    <t>Student Behavior Pilot Program</t>
  </si>
  <si>
    <t>Develop a student behavior pilot to address behavior challenges and scale trauma-informed practices in PSUs identified with significant discipline referrals.</t>
  </si>
  <si>
    <t>P4.F2.A5</t>
  </si>
  <si>
    <t>Implement PBIS</t>
  </si>
  <si>
    <t>Support PSUs in implementing Positive Behavioral Interventions and Supports (PBIS) and share best practices for fostering supportive school environments and reducing behavioral challenges.</t>
  </si>
  <si>
    <t>P4.F2.A6</t>
  </si>
  <si>
    <t>Physical Activity Implementation</t>
  </si>
  <si>
    <t>Partner with PSUs for widespread implementation of physical activity recommendations in State Board Policy SHLT -000.</t>
  </si>
  <si>
    <t>P4.F2.A7</t>
  </si>
  <si>
    <t>Expand School-Based Health Services</t>
  </si>
  <si>
    <t>Partner with community and health service organizations to identify and share strategies to expand school-based health services for students and staff, including telehealth.</t>
  </si>
  <si>
    <t>P4.F2.A8</t>
  </si>
  <si>
    <t>Mental Health First Aid Training</t>
  </si>
  <si>
    <t>Increase educator capacity to address student mental health needs by expanding Youth and Teen Mental Health First Aid training.</t>
  </si>
  <si>
    <t>P4.F2.A9</t>
  </si>
  <si>
    <t>Maximize Medicaid Reimbursements</t>
  </si>
  <si>
    <t>Enhance operational efficiency and maximize allowable Medicaid reimbursements for school-based services across PSUs.</t>
  </si>
  <si>
    <t>P5.F1.A1</t>
  </si>
  <si>
    <t>Language Access &amp; Accessibility Plan</t>
  </si>
  <si>
    <t>Implement an agency-wide language access plan and ensure communications and website materials meet accessibility standards to better serve diverse PSU needs.</t>
  </si>
  <si>
    <t>P5.F1.A2</t>
  </si>
  <si>
    <t>Improve NCDPI Communication Access</t>
  </si>
  <si>
    <t>Improve ability of PSU staff to communicate with NCDPI by making contact information more accessible and transparent and by enhancing support protocols, such as regular NCDPI staff office hour sessions.</t>
  </si>
  <si>
    <t>P5.F1.A3</t>
  </si>
  <si>
    <t>DPI Customer Service Survey</t>
  </si>
  <si>
    <t>Develop and administer a survey to central office staff (a “DPI Customer Service Survey”) to assess customer service strengths and needs.</t>
  </si>
  <si>
    <t>P5.F1.A4</t>
  </si>
  <si>
    <t>PSU Capacity Building Guidance</t>
  </si>
  <si>
    <t>Create and share NCDPI guidance focused on capacity building for PSUs, including best practices for strategic purchasing decisions and aligning budget decisions with instructional priorities.</t>
  </si>
  <si>
    <t>P5.F1.A5</t>
  </si>
  <si>
    <t>Evaluate NCDPI Building Condition</t>
  </si>
  <si>
    <t>Evaluate the condition, functionality and safety of the NCDPI building and shared spaces to identify maintenance, modernization and accessibility needs that impact staff and visitor health, safety and productivity.</t>
  </si>
  <si>
    <t>P5.F1.A6</t>
  </si>
  <si>
    <t>Standardize Work Order Processes</t>
  </si>
  <si>
    <t>Review, refine and standardize work order, maintenance and operational support request processes to ensure consistent, timely and transparent service delivery to all NCDPI offices and stakeholders.</t>
  </si>
  <si>
    <t>P5.F2.A1</t>
  </si>
  <si>
    <t>Address Operational Barriers</t>
  </si>
  <si>
    <t>Establish an intra-agency working group to identify and address barriers to operational consistency, collaboration and communication across NCDPI offices.</t>
  </si>
  <si>
    <t>P5.F2.A2</t>
  </si>
  <si>
    <t>Reestablish Agency Roundtable</t>
  </si>
  <si>
    <t>Reestablish the NCDPI Agency Roundtable to better coordinate, differentiate and streamline identified supports to PSUs.</t>
  </si>
  <si>
    <t>P5.F2.A3</t>
  </si>
  <si>
    <t>Create Key Performance Indicators</t>
  </si>
  <si>
    <t>Create key performance indicators for all NCDPI offices aligned to the strategic plan to monitor and drive agency effectiveness.</t>
  </si>
  <si>
    <t>P5.F3.A1</t>
  </si>
  <si>
    <t>Implement NCSIS</t>
  </si>
  <si>
    <t>Implement with limited challenges the NCSIS.</t>
  </si>
  <si>
    <t>P5.F3.A2</t>
  </si>
  <si>
    <t>Uniform Data Framework</t>
  </si>
  <si>
    <t>Develop and implement a uniform framework for the handling of data, including collection, validation, management, security and reporting processes, across all NCDPI departments.</t>
  </si>
  <si>
    <t>P5.F3.A3</t>
  </si>
  <si>
    <t>Launch Enhanced Data Analytics</t>
  </si>
  <si>
    <t>Launch enhanced data analytic tools for use with the NCSIS.</t>
  </si>
  <si>
    <t>P5.F3.A4</t>
  </si>
  <si>
    <t>Audit Agency Contracts</t>
  </si>
  <si>
    <t>Audit agency contracts to identify opportunities for cost savings, increased efficiency and improved return on investment, with special focus on technology-related agreements.</t>
  </si>
  <si>
    <t>P5.F3.A5</t>
  </si>
  <si>
    <t>Promote Operational Efficiency Practices</t>
  </si>
  <si>
    <t>Identify and promote PSU best practices for operational efficiency, such as shared services models, as well as engage the business community to leverage expertise on operational effectiveness.</t>
  </si>
  <si>
    <t>P5.F3.A6</t>
  </si>
  <si>
    <t>Leverage AI &amp; Advanced Analytics</t>
  </si>
  <si>
    <t>Explore ways to leverage machine learning, artificial intelligence and advanced analytics to enhance NCDPI efficiency and extend value and insights essential to all statewide stakeholders.</t>
  </si>
  <si>
    <t>P5.F3.A7</t>
  </si>
  <si>
    <t>Modernize Core Systems</t>
  </si>
  <si>
    <t>Modernize the financial, human resources and licensure systems across both NCDPI and PSUs.</t>
  </si>
  <si>
    <t>P5.F3.A8</t>
  </si>
  <si>
    <t>Centralized Data Visualization Platform</t>
  </si>
  <si>
    <t>Design, deploy and operationalize a centralized and unified data visualization platform for NCDPI data.</t>
  </si>
  <si>
    <t>P6.F1.A1</t>
  </si>
  <si>
    <t>Innovation Leadership Council</t>
  </si>
  <si>
    <t>Create a cross-sector Innovation Leadership Council (charter, district and lab school leaders, along with NCDPI staff) to guide knowledge transfer and scale- up.</t>
  </si>
  <si>
    <t>P6.F1.A2</t>
  </si>
  <si>
    <t>Innovation Pilot &amp; Evaluation Process</t>
  </si>
  <si>
    <t>Establish a structured process to identify, pilot, evaluate and/or scale innovative school models and instructional practices across North Carolina.</t>
  </si>
  <si>
    <t>P6.F1.A3</t>
  </si>
  <si>
    <t>Annual Effective Practices Collection</t>
  </si>
  <si>
    <t>Publish and promote an annual collection of effective and innovative practices drawn from local, statewide and national research, to inform policy, NCDPI work and PSU improvement efforts.</t>
  </si>
  <si>
    <t>P6.F2.A1</t>
  </si>
  <si>
    <t>Establish Education Networks</t>
  </si>
  <si>
    <t>Establish statewide, regional and partner education networks to facilitate implementation of key strategic plan priorities, share scalable resources and support continuous improvement across PSUs.</t>
  </si>
  <si>
    <t>P6.F2.A2</t>
  </si>
  <si>
    <t>Create Shared Network Resources</t>
  </si>
  <si>
    <t>Create and maintain shared resources, assets and digital tools for use by education networks, enabling districts and schools to accelerate strategic initiatives and replicate effective practices.</t>
  </si>
  <si>
    <t>P6.F2.A3</t>
  </si>
  <si>
    <t>Annual Networks Conference</t>
  </si>
  <si>
    <t>Convene an annual statewide and interstate networks conference to showcase innovative PreK– 12 practices, host immersive site visits and expand access to research-driven models.</t>
  </si>
  <si>
    <t>P6.F3.A1</t>
  </si>
  <si>
    <t>Redesign Low-Performing School Process</t>
  </si>
  <si>
    <t>Explore redesign of the statutory process for identifying low-performing schools to ensure it is supportive, research-informed and better aligned to improvement needs.</t>
  </si>
  <si>
    <t>P6.F3.A2</t>
  </si>
  <si>
    <t>Recruit &amp; Retain for Low-Performing Schools</t>
  </si>
  <si>
    <t>Explore strategies, including how to creatively use currently available funding allotments, to recruit and retain highly effective teachers and principals to work in low-performing schools and districts.</t>
  </si>
  <si>
    <t>P6.F3.A3</t>
  </si>
  <si>
    <t>School Improvement Protocols</t>
  </si>
  <si>
    <t>Adopt statewide protocols, including diagnostics, planning tools and fidelity monitoring to guide local improvement efforts for low-performing schools.</t>
  </si>
  <si>
    <t>P6.F3.A4</t>
  </si>
  <si>
    <t>Support Low-Performing Districts</t>
  </si>
  <si>
    <t>Expand SBE and NCDPI efforts to support districts designated as low-performing and districts experiencing financial challenges.</t>
  </si>
  <si>
    <t>P6.F4.A1</t>
  </si>
  <si>
    <t>Multiple Measures of Performance</t>
  </si>
  <si>
    <t>Reliably assess multiple measures of student performance in grades 3-12 that includes measures of progress towards ensuring all students graduate prepared for their next phase of life.</t>
  </si>
  <si>
    <t>P6.F4.A2</t>
  </si>
  <si>
    <t>Enhance Interim Assessments</t>
  </si>
  <si>
    <t>Enhance interim assessments aligned to the North Carolina Standard Course of Study, promote multiple measures beyond standardized assessments and provide PSUs with the resources to increase progress monitoring using assessment data.</t>
  </si>
  <si>
    <t>P6.F4.A3</t>
  </si>
  <si>
    <t>School Funding Model Reform</t>
  </si>
  <si>
    <t>Explore reforms to North Carolina’s school funding model to ensure allocations are transparent, flexible and based on student needs.</t>
  </si>
  <si>
    <t>P6.F4.A4</t>
  </si>
  <si>
    <t>New School Performance Profiles</t>
  </si>
  <si>
    <t>Publish new School Performance Profiles based on the redesigned accountability system to ensure public transparency and equip communities with clear data on local school success.</t>
  </si>
  <si>
    <t>P7.F1.A1</t>
  </si>
  <si>
    <t>Research Public Education Messaging</t>
  </si>
  <si>
    <t>Use research and assessment of current NCDPI partners’ initiatives and messaging for public education.</t>
  </si>
  <si>
    <t>P7.F1.A2</t>
  </si>
  <si>
    <t>Develop &amp; Test Messaging</t>
  </si>
  <si>
    <t>Work with partners to develop and test comprehensive public education messaging.</t>
  </si>
  <si>
    <t>P7.F1.A3</t>
  </si>
  <si>
    <t>Create Public Education Materials</t>
  </si>
  <si>
    <t>Create accessible and engaging materials about how public education works and is managed in North Carolina.</t>
  </si>
  <si>
    <t>P7.F1.A4</t>
  </si>
  <si>
    <t>PIO Training &amp; Support Materials</t>
  </si>
  <si>
    <t>Create supportive materials and training for PIOs and NCDPI partners to adopt and adapt and coordinate communications.</t>
  </si>
  <si>
    <t>P7.F2.A1</t>
  </si>
  <si>
    <t>Engage PSU Communications Staff</t>
  </si>
  <si>
    <t>Engage, align and support PSU communications staff to align communication efforts that celebrate public education.</t>
  </si>
  <si>
    <t>P7.F2.A2</t>
  </si>
  <si>
    <t>Engage NCDPI &amp; Partner Communications</t>
  </si>
  <si>
    <t>Engage, connect and support NCDPI staff and education partners’ communication efforts for this initiative.</t>
  </si>
  <si>
    <t>P7.F2.A3</t>
  </si>
  <si>
    <t>Engage Non-Education Partners</t>
  </si>
  <si>
    <t>Engage and align non-education partners’ communication efforts for this initiative.</t>
  </si>
  <si>
    <t>P7.F3.A1</t>
  </si>
  <si>
    <t>Uplift Success Stories</t>
  </si>
  <si>
    <t>Work with education partners on statewide communication efforts that uplift success stories, testimonials and positive narratives about public schools.</t>
  </si>
  <si>
    <t>P7.F3.A2</t>
  </si>
  <si>
    <t>Coordinate Celebration Messaging</t>
  </si>
  <si>
    <t>Coordinate and share messaging that celebrates public education successes.</t>
  </si>
  <si>
    <t>P7.F3.A3</t>
  </si>
  <si>
    <t>Joint Community Engagement Events</t>
  </si>
  <si>
    <t>Encourage joint events and community engagement activities where NCDPI and education partners present unified messaging about public education.</t>
  </si>
  <si>
    <t>P7.F3.A4</t>
  </si>
  <si>
    <t>Evaluate Messaging Impact</t>
  </si>
  <si>
    <t>Evaluate the initiative’s impact on public school satisfaction, knowledge and perception from families, students and North Carolina residents.</t>
  </si>
  <si>
    <t>P8.F1.A1</t>
  </si>
  <si>
    <t>Train Advocacy Partners</t>
  </si>
  <si>
    <t>Engage and train partners and communicators to advocate for public education.</t>
  </si>
  <si>
    <t>P8.F1.A2</t>
  </si>
  <si>
    <t>Connect Advocacy Efforts</t>
  </si>
  <si>
    <t>Connect and align NCDPI, education partners and allies to support local, regional and statewide efforts.</t>
  </si>
  <si>
    <t>P8.F1.A3</t>
  </si>
  <si>
    <t>Support Aligned Initiatives</t>
  </si>
  <si>
    <t>Encourage and support aligned initiatives and outreach via social media, media and events.</t>
  </si>
  <si>
    <t>P8.F2.A1</t>
  </si>
  <si>
    <t>10 Million Books Campaign</t>
  </si>
  <si>
    <t>Develop and launch a statewide reading campaign where students will collectively read 10 million books annually, in collaboration with state and local partners.</t>
  </si>
  <si>
    <t>P8.F2.A2</t>
  </si>
  <si>
    <t>PSU Family Engagement Toolkits</t>
  </si>
  <si>
    <t>Develop toolkits for PSUs to engage families and partners in their schools.</t>
  </si>
  <si>
    <t>P8.F2.A3</t>
  </si>
  <si>
    <t>Career &amp; Postsecondary Planning Toolkits</t>
  </si>
  <si>
    <t>Develop toolkits for local chambers, businesses and community organizations to work with eighth graders on their career development plans and 12th graders on their postsecondary plans.</t>
  </si>
  <si>
    <t>P8.F3.A1</t>
  </si>
  <si>
    <t>Engage Policymakers in Schools</t>
  </si>
  <si>
    <t>Engage local and state policymakers to attend events, visit schools and participate in public education initiatives.</t>
  </si>
  <si>
    <t>P8.F3.A2</t>
  </si>
  <si>
    <t>Engage Business &amp; Philanthropic Investment</t>
  </si>
  <si>
    <t>Engage businesses, individuals and philanthropic organizations to invest in PSUs at the local, regional and state levels.</t>
  </si>
  <si>
    <t>P8.F3.A3</t>
  </si>
  <si>
    <t>Advocate for Public School Investments</t>
  </si>
  <si>
    <t>Work with partners to advocate for investments in public schools, especially for initiatives for improving student achievement and school infrastructure.</t>
  </si>
  <si>
    <t>P8.F3.A4</t>
  </si>
  <si>
    <t>Create Statewide Foundation</t>
  </si>
  <si>
    <t>Create a statewide foundation to fund various initiatives in this and future strategic plans.</t>
  </si>
  <si>
    <t>P8.F3.A5</t>
  </si>
  <si>
    <t>Highlight Public Education Narrative</t>
  </si>
  <si>
    <t>Highlight the changing narrative on public education in North Carolina and how it is part of the state’s identity.</t>
  </si>
  <si>
    <t>P8.F3.A6</t>
  </si>
  <si>
    <t>Explore Tuition-Free Endowment</t>
  </si>
  <si>
    <t>Work with partners to explore creating an endowment that will allow all public high school graduates, regardless of income, to attend at least two years of postsecondary education completely tuition-free inclusive of federal and state financial aid.</t>
  </si>
  <si>
    <t>MeasureNum</t>
  </si>
  <si>
    <t>MeasureMetricTxt</t>
  </si>
  <si>
    <t>MeasureToolTip</t>
  </si>
  <si>
    <t>MeasureStatus</t>
  </si>
  <si>
    <t>NoteMeasureDefinition</t>
  </si>
  <si>
    <t>NoteNextUpdateText</t>
  </si>
  <si>
    <t>NoteDataSourceText</t>
  </si>
  <si>
    <t>NoteDataSourceURL</t>
  </si>
  <si>
    <t>CallOutImportance</t>
  </si>
  <si>
    <t>CallOutLinkToPillar</t>
  </si>
  <si>
    <t>CallOutMoreDataURL</t>
  </si>
  <si>
    <t>Percentage of 9th-graders graduating from high school four years later</t>
  </si>
  <si>
    <t>Baseline Year</t>
  </si>
  <si>
    <t>The cohort graduation rate measures the percentage of 9th-graders who go on to graduate from high school four years later.</t>
  </si>
  <si>
    <t>Data for the next cohort, those in 9th-grade in 2022-23, will be available in September, 2026.</t>
  </si>
  <si>
    <t>National Center for Education Statistics (NCES) Digest of Education Statistics (Table 219.46)</t>
  </si>
  <si>
    <t>https://nces.ed.gov/programs/digest/d23/tables/dt23_219.46.asp?current=yes</t>
  </si>
  <si>
    <t>Lorem ipsum dolor sit amet consectetur adipiscing elit. Dolor sit amet consectetur adipiscing elit quisque faucibus.</t>
  </si>
  <si>
    <t>null</t>
  </si>
  <si>
    <r>
      <rPr>
        <color rgb="FF1155CC"/>
        <u/>
      </rPr>
      <t>https://go.ncdpi.gov/CGRState</t>
    </r>
  </si>
  <si>
    <t xml:space="preserve">Average ACT composite score </t>
  </si>
  <si>
    <t>[Need to add note of measure definition and context].</t>
  </si>
  <si>
    <t>[Add note on when data next available]</t>
  </si>
  <si>
    <t>https://www.act.org/content/dam/act/unsecured/documents/2024-Average-ACT-Scores-by-State-Percent-Meeting-Benchmarks.pdf</t>
  </si>
  <si>
    <t>Percentage of 10th, 11th, and 12th-graders who take an Advanced Placement exam</t>
  </si>
  <si>
    <t>How many of our high school students enroll in Advanced Placement courses?</t>
  </si>
  <si>
    <t>College Board</t>
  </si>
  <si>
    <t>https://apcentral.collegeboard.org/about-ap/ap-data-research/national-state-data</t>
  </si>
  <si>
    <t>Percentage of 10th, 11th, and 12th-graders who pass an Advanced Placement exam</t>
  </si>
  <si>
    <t>Percentage of high school graduates that enroll in at least one dual enrollment course</t>
  </si>
  <si>
    <t>How many of our high school students enroll in at least dual enrollment course with local colleges?</t>
  </si>
  <si>
    <t>NC Department of Public Instruction</t>
  </si>
  <si>
    <t>https://www.dpi.nc.gov/2025-ccpcihs-report-general-assembly/open</t>
  </si>
  <si>
    <t>Percentage of high school graduates who earn high school credit in at least one dual enrollment course</t>
  </si>
  <si>
    <t>Percentage of all students participating in a Career and Technical Education course</t>
  </si>
  <si>
    <t>How many of our high school students participate in Career and Technical Education programs?</t>
  </si>
  <si>
    <t>Perkins Collaborative Resource Network</t>
  </si>
  <si>
    <t xml:space="preserve"> https://cte.ed.gov/pcrn/explorer</t>
  </si>
  <si>
    <t>Number of Career and Technical Education credentials earned by students</t>
  </si>
  <si>
    <t xml:space="preserve"> https://www.dpi.nc.gov/2023-2024-credential-report/open</t>
  </si>
  <si>
    <t>Average scale score on 4th grade reading national assessment (NAEP)</t>
  </si>
  <si>
    <t>How do our 4th-graders score in reading on the National Assessment of Educational Progress?</t>
  </si>
  <si>
    <t>National Assessment of Educational Progress (NAEP)</t>
  </si>
  <si>
    <t>https://www.nationsreportcard.gov/profiles/stateprofile?chort=1&amp;sub=RED&amp;sj=&amp;sfj=NP&amp;st=MN&amp;year=2024R3</t>
  </si>
  <si>
    <t>Average scale score on 8th grade reading national assessment (NAEP)</t>
  </si>
  <si>
    <t>How do our 8th-graders score in reading on the National Assessment of Educational Progress?</t>
  </si>
  <si>
    <t>https://www.nationsreportcard.gov/profiles/stateprofile?chort=2&amp;sub=RED&amp;sj=&amp;sfj=NP&amp;st=MN&amp;year=2024R3</t>
  </si>
  <si>
    <t>Average scale score on 4th grade mathematics national assessment (NAEP)</t>
  </si>
  <si>
    <t>How do our 4th-graders score in math on the National Assessment of Educational Progress?</t>
  </si>
  <si>
    <t>https://www.nationsreportcard.gov/profiles/stateprofile?chort=1&amp;sub=MAT&amp;sj=&amp;sfj=NP&amp;st=MN&amp;year=2024R3</t>
  </si>
  <si>
    <t>Average scale score on 8th grade mathematics national assessment (NAEP)</t>
  </si>
  <si>
    <t>How do our 8th-graders score in math on the National Assessment of Educational Progress?</t>
  </si>
  <si>
    <t>https://www.nationsreportcard.gov/profiles/stateprofile?chort=2&amp;sub=MAT&amp;sj=&amp;sfj=NP&amp;st=NC&amp;year=2024R3</t>
  </si>
  <si>
    <t>Number of schools recognized as National Schools of Character</t>
  </si>
  <si>
    <t>How many of our schools are recognized as National Schools of Character?</t>
  </si>
  <si>
    <t>Percentage of school-aged children enrolled in public schools</t>
  </si>
  <si>
    <t>How many of our school-aged children are enrolled in NC public schools?</t>
  </si>
  <si>
    <t>BEST NC Facts and Figures 2025, https://bestnc.org/wp-content/uploads/2025/06/2025-Facts-Figures-June-2025_v2.pdf; NCDPI, Statistical Profile Tables 1 and 3; NCDOA, Statistical Summary for Private Schools; NCDOA, NC Home School Statistical History</t>
  </si>
  <si>
    <t>Year</t>
  </si>
  <si>
    <t>ActualValue</t>
  </si>
  <si>
    <t>TargetValue</t>
  </si>
  <si>
    <t>Y-axis max</t>
  </si>
  <si>
    <t>MaxYearWithData</t>
  </si>
  <si>
    <t>ValueFormat</t>
  </si>
  <si>
    <t>BusinessOwner</t>
  </si>
  <si>
    <t>Source</t>
  </si>
  <si>
    <t>#.#%</t>
  </si>
  <si>
    <t>Curtis</t>
  </si>
  <si>
    <t>ACT Score</t>
  </si>
  <si>
    <t>#.#</t>
  </si>
  <si>
    <t>Also a difference.</t>
  </si>
  <si>
    <t>Sneha</t>
  </si>
  <si>
    <t>Rob entries</t>
  </si>
  <si>
    <t>Rob and Amy</t>
  </si>
  <si>
    <t>Misty Wolf</t>
  </si>
  <si>
    <t>Ask Geoff Coltrane</t>
  </si>
  <si>
    <t>Also on school report card</t>
  </si>
  <si>
    <t>#,###</t>
  </si>
  <si>
    <t>#</t>
  </si>
  <si>
    <t>Ask Geoff again.</t>
  </si>
  <si>
    <t>NC Dept of Non-Public Instruction</t>
  </si>
  <si>
    <t>Or is it FBS? ADM?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</si>
</sst>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1.0"/>
      <color theme="1"/>
      <name val="Calibri"/>
      <scheme val="minor"/>
    </font>
    <font>
      <b/>
      <sz val="11.0"/>
      <color theme="1"/>
      <name val="Calibri"/>
    </font>
    <font>
      <b/>
      <color theme="1"/>
      <name val="Calibri"/>
      <scheme val="minor"/>
    </font>
    <font>
      <color theme="1"/>
      <name val="Calibri"/>
      <scheme val="minor"/>
    </font>
    <font>
      <u/>
      <color rgb="FF0000FF"/>
    </font>
    <font>
      <u/>
      <color theme="1"/>
      <name val="Calibri"/>
      <scheme val="minor"/>
    </font>
    <font>
      <u/>
      <color rgb="FF0000FF"/>
      <name val="Calibri"/>
      <scheme val="minor"/>
    </font>
    <font>
      <u/>
      <color rgb="FF0000FF"/>
    </font>
    <font>
      <sz val="11.0"/>
      <color theme="1"/>
      <name val="Arial"/>
    </font>
    <font>
      <sz val="11.0"/>
      <color theme="1"/>
      <name val="Calibri"/>
    </font>
    <font>
      <color rgb="FF000000"/>
      <name val="AnthropicSerif"/>
    </font>
    <font>
      <color rgb="FF000000"/>
      <name val="Calibri"/>
      <scheme val="minor"/>
    </font>
  </fonts>
  <fills count="4">
    <fill>
      <patternFill patternType="none"/>
    </fill>
    <fill>
      <patternFill patternType="lightGray"/>
    </fill>
    <fill>
      <patternFill patternType="solid">
        <fgColor rgb="FFF2F5F7"/>
        <bgColor rgb="FFF2F5F7"/>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bottom style="thin">
        <color rgb="FFDEDCD1"/>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2" numFmtId="0" xfId="0" applyAlignment="1" applyFont="1">
      <alignment readingOrder="0"/>
    </xf>
    <xf borderId="0" fillId="0" fontId="2" numFmtId="0" xfId="0" applyAlignment="1" applyFont="1">
      <alignment readingOrder="0" shrinkToFit="0" wrapText="1"/>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xf>
    <xf borderId="0" fillId="0" fontId="3" numFmtId="0" xfId="0" applyAlignment="1" applyFont="1">
      <alignment shrinkToFit="0" wrapText="1"/>
    </xf>
    <xf borderId="0" fillId="2" fontId="3" numFmtId="0" xfId="0" applyFill="1" applyFont="1"/>
    <xf borderId="0" fillId="2" fontId="3" numFmtId="0" xfId="0" applyAlignment="1" applyFont="1">
      <alignment readingOrder="0"/>
    </xf>
    <xf borderId="0" fillId="0" fontId="3" numFmtId="0" xfId="0" applyAlignment="1" applyFont="1">
      <alignment horizontal="center" readingOrder="0"/>
    </xf>
    <xf borderId="1" fillId="0" fontId="1" numFmtId="0" xfId="0" applyAlignment="1" applyBorder="1" applyFont="1">
      <alignment horizontal="center" vertical="top"/>
    </xf>
    <xf borderId="1" fillId="0" fontId="1" numFmtId="0" xfId="0" applyAlignment="1" applyBorder="1" applyFont="1">
      <alignment horizontal="center" readingOrder="0" vertical="bottom"/>
    </xf>
    <xf borderId="0" fillId="2" fontId="3" numFmtId="164" xfId="0" applyAlignment="1" applyFont="1" applyNumberFormat="1">
      <alignment shrinkToFit="0" wrapText="1"/>
    </xf>
    <xf borderId="0" fillId="2" fontId="3" numFmtId="164" xfId="0" applyFont="1" applyNumberFormat="1"/>
    <xf borderId="0" fillId="0" fontId="3" numFmtId="164" xfId="0" applyFont="1" applyNumberFormat="1"/>
    <xf borderId="0" fillId="0" fontId="3" numFmtId="164" xfId="0" applyAlignment="1" applyFont="1" applyNumberFormat="1">
      <alignment readingOrder="0"/>
    </xf>
    <xf borderId="0" fillId="2" fontId="3" numFmtId="164" xfId="0" applyAlignment="1" applyFont="1" applyNumberFormat="1">
      <alignment readingOrder="0"/>
    </xf>
    <xf borderId="0" fillId="0" fontId="3" numFmtId="0" xfId="0" applyAlignment="1" applyFont="1">
      <alignment vertical="bottom"/>
    </xf>
    <xf borderId="0" fillId="0" fontId="7" numFmtId="0" xfId="0" applyAlignment="1" applyFont="1">
      <alignment readingOrder="0"/>
    </xf>
    <xf borderId="0" fillId="0" fontId="3" numFmtId="0" xfId="0" applyAlignment="1" applyFont="1">
      <alignment readingOrder="0" shrinkToFit="0" wrapText="0"/>
    </xf>
    <xf borderId="0" fillId="3" fontId="3" numFmtId="0" xfId="0" applyAlignment="1" applyFill="1" applyFont="1">
      <alignment readingOrder="0"/>
    </xf>
    <xf borderId="0" fillId="3" fontId="3" numFmtId="0" xfId="0" applyFont="1"/>
    <xf borderId="0" fillId="0" fontId="8" numFmtId="0" xfId="0" applyAlignment="1" applyFont="1">
      <alignment readingOrder="0" shrinkToFit="0" vertical="center" wrapText="1"/>
    </xf>
    <xf borderId="0" fillId="2" fontId="9" numFmtId="0" xfId="0" applyAlignment="1" applyFont="1">
      <alignment vertical="bottom"/>
    </xf>
    <xf borderId="0" fillId="2" fontId="9" numFmtId="0" xfId="0" applyAlignment="1" applyFont="1">
      <alignment readingOrder="0" vertical="bottom"/>
    </xf>
    <xf borderId="0" fillId="0" fontId="9" numFmtId="0" xfId="0" applyAlignment="1" applyFont="1">
      <alignment vertical="bottom"/>
    </xf>
    <xf borderId="0" fillId="0" fontId="9" numFmtId="0" xfId="0" applyAlignment="1" applyFont="1">
      <alignment readingOrder="0" vertical="bottom"/>
    </xf>
    <xf borderId="0" fillId="0" fontId="9" numFmtId="3" xfId="0" applyAlignment="1" applyFont="1" applyNumberFormat="1">
      <alignment readingOrder="0" vertical="bottom"/>
    </xf>
    <xf borderId="2" fillId="0" fontId="10" numFmtId="0" xfId="0" applyAlignment="1" applyBorder="1" applyFont="1">
      <alignment horizontal="center" readingOrder="0" vertical="top"/>
    </xf>
    <xf borderId="2" fillId="0" fontId="10" numFmtId="0" xfId="0" applyAlignment="1" applyBorder="1" applyFont="1">
      <alignment readingOrder="0" vertical="top"/>
    </xf>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6af906b3-d7d1-46af-94d9-3530df8f9d15}">
    <Anchor>
      <Comment id="{95103c40-598b-49d8-a14d-36c464a6fdfb}"/>
    </Anchor>
    <History>
      <Event time="2026-01-12T19:35:02.00" id="{66c52a15-36a6-41b9-84d5-159a578f3884}">
        <Attribution userId="placeholder@email.com" userName="Andy Baxter" userProvider="google-sheets"/>
        <Anchor>
          <Comment id="{95103c40-598b-49d8-a14d-36c464a6fdfb}"/>
        </Anchor>
        <Create/>
      </Event>
      <Event time="2026-01-12T19:35:02.00" id="{43fc6ac3-46cc-484e-a303-456a84540232}">
        <Attribution userId="placeholder@email.com" userName="Andy Baxter" userProvider="google-sheets"/>
        <Anchor>
          <Comment id="{95103c40-598b-49d8-a14d-36c464a6fdfb}"/>
        </Anchor>
        <Assign userId="geoff.coltrane@dpi.nc.gov" userName="geoff.coltrane@dpi.nc.gov"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maher@dpi.nc.gov" id="{8959decb-de84-455d-8d98-18c074f08c52}" userId="michael.maher@dpi.nc.gov" providerId="google-sheets"/>
  <x18tc:person displayName="curtis.sonneman@dpi.nc.gov" id="{e279d7dd-52b7-4e1f-8a5b-022d6ac8eeea}" userId="curtis.sonneman@dpi.nc.gov" providerId="google-sheets"/>
  <x18tc:person displayName="mark.dessauer@dpi.nc.gov" id="{368d2971-fc95-4c8b-865b-1f12a919b0f0}" userId="mark.dessauer@dpi.nc.gov" providerId="google-sheets"/>
  <x18tc:person displayName="Andy Baxter" id="{c6443df7-f7f4-408c-976b-9760d6d7353a}" providerId="google-sheets"/>
  <x18tc:person displayName="geoff.coltrane@dpi.nc.gov" id="{90b8a3a9-9fbf-453f-95a2-56e03f8f475a}" userId="geoff.coltrane@dpi.nc.gov"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 dT="2025-12-16T15:46:51.00" personId="{c6443df7-f7f4-408c-976b-9760d6d7353a}" id="{0329ca96-a421-4bc9-add9-7fb9f0ae8038}" done="0">
    <x18tc:text xml:space="preserve">Need to check if there are DPI dashboards that cover these sorts of things.  Or do I link to a state board presentation?</x18tc:text>
  </x18tc:threadedComment>
  <x18tc:threadedComment ref="M1" dT="2026-01-12T19:36:54.00" personId="{c6443df7-f7f4-408c-976b-9760d6d7353a}" id="{9920e8dd-6a4e-4edf-8fe4-30c182dad84a}" done="0">
    <x18tc:text xml:space="preserve">@geoff.coltrane@dpi.nc.gov @mark.dessauer@dpi.nc.gov Hi, here is the place where we want to add 1-2 sentences about why the measure matters.  As we discussed on Friday, you can get as research-y or as platitudinous as you'd like, but make it concise.</x18tc:text>
    <x18tc:mentions>
      <x18tc:mention mentionpersonId="{90b8a3a9-9fbf-453f-95a2-56e03f8f475a}" mentionId="{dbdcff02-24c0-4ac4-ba05-e5510bc3a796}" startIndex="0" length="26"/>
      <x18tc:mention mentionpersonId="{368d2971-fc95-4c8b-865b-1f12a919b0f0}" mentionId="{7a9812a6-4b04-4446-9521-57c85da12300}" startIndex="27" length="25"/>
    </x18tc:mentions>
  </x18tc:threadedComment>
  <x18tc:threadedComment ref="I1" dT="2026-01-12T19:30:49.00" personId="{c6443df7-f7f4-408c-976b-9760d6d7353a}" id="{2a3fb75d-80c2-4a17-a3e4-866cfd0a403c}" done="0">
    <x18tc:text xml:space="preserve">@geoff.coltrane@dpi.nc.gov @curtis.sonneman@dpi.nc.gov @michael.maher@dpi.nc.gov 
Here is the column we will use to include anything specific about the measure that the user wants to know. We know the AP and ACT ones need special attention.  you are welcome to just add the note here in the appropriate cell.</x18tc:text>
    <x18tc:mentions>
      <x18tc:mention mentionpersonId="{90b8a3a9-9fbf-453f-95a2-56e03f8f475a}" mentionId="{0f31dfb6-0dd3-4160-a5e9-7253c65d8083}" startIndex="0" length="26"/>
      <x18tc:mention mentionpersonId="{e279d7dd-52b7-4e1f-8a5b-022d6ac8eeea}" mentionId="{a09d28e1-8d17-47cf-81e2-5ca8f6eddc4d}" startIndex="27" length="27"/>
      <x18tc:mention mentionpersonId="{8959decb-de84-455d-8d98-18c074f08c52}" mentionId="{64fe7c9b-8a16-4fe7-b7b8-cf7016725a4e}" startIndex="55" length="25"/>
    </x18tc:mentions>
  </x18tc:threadedComment>
  <x18tc:threadedComment ref="K8" dT="2025-12-16T15:45:14.00" personId="{c6443df7-f7f4-408c-976b-9760d6d7353a}" id="{0377562c-67e6-45de-a6a4-51de768804a8}" done="0">
    <x18tc:text xml:space="preserve">Note that this one also has another source (NCES) for the denominator. Need to do include that somehow.</x18tc:text>
  </x18tc:threadedComment>
  <x18tc:threadedComment ref="F3" dT="2025-12-16T19:24:50.00" personId="{c6443df7-f7f4-408c-976b-9760d6d7353a}" id="{6c8b5fd0-4f19-4e75-83fc-670608f205d2}" done="0">
    <x18tc:text xml:space="preserve">Check if it's specific to a grade</x18tc:text>
  </x18tc:threadedComment>
  <x18tc:threadedComment ref="J1" dT="2026-01-12T19:33:20.00" personId="{c6443df7-f7f4-408c-976b-9760d6d7353a}" id="{2bd0772b-a76a-4a14-a33a-4efa1c770773}" done="0">
    <x18tc:text xml:space="preserve">@curtis.sonneman@dpi.nc.gov @michael.maher@dpi.nc.gov @geoff.coltrane@dpi.nc.gov  Goal in this column is to list the approximate month/quarter and year when the user could expect to see the data updated. don't worry about formatting--just put something in and I'll take care of the rest.</x18tc:text>
    <x18tc:mentions>
      <x18tc:mention mentionpersonId="{e279d7dd-52b7-4e1f-8a5b-022d6ac8eeea}" mentionId="{3d78a6d7-79ac-4af6-8e65-882125c9cb3f}" startIndex="0" length="27"/>
      <x18tc:mention mentionpersonId="{8959decb-de84-455d-8d98-18c074f08c52}" mentionId="{2486718c-26d9-4a83-a714-60ac5fe4e8be}" startIndex="28" length="25"/>
      <x18tc:mention mentionpersonId="{90b8a3a9-9fbf-453f-95a2-56e03f8f475a}" mentionId="{b759ae6f-38dd-4f29-bbf5-e49e12875eb7}" startIndex="54" length="26"/>
    </x18tc:mentions>
  </x18tc:threadedComment>
  <x18tc:threadedComment ref="K15" dT="2025-12-16T15:22:40.00" personId="{c6443df7-f7f4-408c-976b-9760d6d7353a}" id="{e15199f0-a634-4f7b-aee5-913cf4e1c29c}" done="0">
    <x18tc:text xml:space="preserve">Need edit for concision</x18tc:text>
  </x18tc:threadedComment>
  <x18tc:threadedComment ref="L2" dT="2025-12-16T15:38:54.00" personId="{c6443df7-f7f4-408c-976b-9760d6d7353a}" id="{5ca2b098-ee1c-4859-b0bf-cdad8c2d5cbf}" done="0">
    <x18tc:text xml:space="preserve">Note that this is only through 2022 at this point</x18tc:text>
  </x18tc:threadedComment>
  <x18tc:threadedComment ref="L15" dT="2026-01-12T19:35:02.00" personId="{c6443df7-f7f4-408c-976b-9760d6d7353a}" id="{95103c40-598b-49d8-a14d-36c464a6fdfb}" done="0">
    <x18tc:text xml:space="preserve">@geoff.coltrane@dpi.nc.gov I know this one is wonky.  Just choose the one url that you think is best OR if nothing really suits, then we'll just put a note here that says (NCDPI Internal) or something like that.
Assigned to geoff.coltrane@dpi.nc.gov</x18tc:text>
    <x18tc:mentions>
      <x18tc:mention mentionpersonId="{90b8a3a9-9fbf-453f-95a2-56e03f8f475a}" mentionId="{1a86823e-8cb6-4533-837e-d5e0f2629e3f}" startIndex="0" length="26"/>
    </x18tc:mentions>
  </x18tc:threadedComment>
  <x18tc:threadedComment ref="L9" dT="2025-12-16T15:42:51.00" personId="{c6443df7-f7f4-408c-976b-9760d6d7353a}" id="{02c11eb0-2611-470b-8524-39b6f07dfc43}" done="0">
    <x18tc:text xml:space="preserve">Check that this is most recent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o.ncdpi.gov/PillarOne" TargetMode="External"/><Relationship Id="rId3" Type="http://schemas.openxmlformats.org/officeDocument/2006/relationships/hyperlink" Target="https://go.ncdpi.gov/PillarTwo" TargetMode="External"/><Relationship Id="rId4" Type="http://schemas.openxmlformats.org/officeDocument/2006/relationships/hyperlink" Target="https://go.ncdpi.gov/PillarThree"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go.ncdpi.gov/PillarEight" TargetMode="External"/><Relationship Id="rId5" Type="http://schemas.openxmlformats.org/officeDocument/2006/relationships/hyperlink" Target="https://go.ncdpi.gov/PillarFour" TargetMode="External"/><Relationship Id="rId6" Type="http://schemas.openxmlformats.org/officeDocument/2006/relationships/hyperlink" Target="https://go.ncdpi.gov/PillarFive" TargetMode="External"/><Relationship Id="rId7" Type="http://schemas.openxmlformats.org/officeDocument/2006/relationships/hyperlink" Target="https://go.ncdpi.gov/PillarSix" TargetMode="External"/><Relationship Id="rId8" Type="http://schemas.openxmlformats.org/officeDocument/2006/relationships/hyperlink" Target="https://go.ncdpi.gov/PillarSeve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cte.ed.gov/pcrn/explorer" TargetMode="External"/><Relationship Id="rId10" Type="http://schemas.openxmlformats.org/officeDocument/2006/relationships/hyperlink" Target="https://www.dpi.nc.gov/2025-ccpcihs-report-general-assembly/open" TargetMode="External"/><Relationship Id="rId13" Type="http://schemas.openxmlformats.org/officeDocument/2006/relationships/hyperlink" Target="https://www.nationsreportcard.gov/profiles/stateprofile?chort=1&amp;sub=RED&amp;sj=&amp;sfj=NP&amp;st=MN&amp;year=2024R3" TargetMode="External"/><Relationship Id="rId12" Type="http://schemas.openxmlformats.org/officeDocument/2006/relationships/hyperlink" Target="https://www.dpi.nc.gov/2023-2024-credential-report/open" TargetMode="External"/><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nces.ed.gov/programs/digest/d23/tables/dt23_219.46.asp?current=yes" TargetMode="External"/><Relationship Id="rId9" Type="http://schemas.openxmlformats.org/officeDocument/2006/relationships/hyperlink" Target="https://www.dpi.nc.gov/2025-ccpcihs-report-general-assembly/open" TargetMode="External"/><Relationship Id="rId15" Type="http://schemas.openxmlformats.org/officeDocument/2006/relationships/hyperlink" Target="https://www.nationsreportcard.gov/profiles/stateprofile?chort=1&amp;sub=MAT&amp;sj=&amp;sfj=NP&amp;st=MN&amp;year=2024R3" TargetMode="External"/><Relationship Id="rId14" Type="http://schemas.openxmlformats.org/officeDocument/2006/relationships/hyperlink" Target="https://www.nationsreportcard.gov/profiles/stateprofile?chort=2&amp;sub=RED&amp;sj=&amp;sfj=NP&amp;st=MN&amp;year=2024R3" TargetMode="External"/><Relationship Id="rId17" Type="http://schemas.openxmlformats.org/officeDocument/2006/relationships/drawing" Target="../drawings/drawing6.xml"/><Relationship Id="rId16" Type="http://schemas.openxmlformats.org/officeDocument/2006/relationships/hyperlink" Target="https://www.nationsreportcard.gov/profiles/stateprofile?chort=2&amp;sub=MAT&amp;sj=&amp;sfj=NP&amp;st=MN&amp;year=2024R3" TargetMode="External"/><Relationship Id="rId5" Type="http://schemas.openxmlformats.org/officeDocument/2006/relationships/hyperlink" Target="https://go.ncdpi.gov/CGRState" TargetMode="External"/><Relationship Id="rId6" Type="http://schemas.openxmlformats.org/officeDocument/2006/relationships/hyperlink" Target="https://www.act.org/content/dam/act/unsecured/documents/2024-Average-ACT-Scores-by-State-Percent-Meeting-Benchmarks.pdf" TargetMode="External"/><Relationship Id="rId18" Type="http://schemas.openxmlformats.org/officeDocument/2006/relationships/vmlDrawing" Target="../drawings/vmlDrawing3.vml"/><Relationship Id="rId7" Type="http://schemas.openxmlformats.org/officeDocument/2006/relationships/hyperlink" Target="https://apcentral.collegeboard.org/about-ap/ap-data-research/national-state-data" TargetMode="External"/><Relationship Id="rId8" Type="http://schemas.openxmlformats.org/officeDocument/2006/relationships/hyperlink" Target="https://apcentral.collegeboard.org/about-ap/ap-data-research/national-state-data"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21.14"/>
    <col customWidth="1" min="3" max="3" width="61.29"/>
    <col customWidth="1" min="4" max="6" width="27.86"/>
    <col customWidth="1" hidden="1" min="7" max="7" width="72.29"/>
    <col customWidth="1" min="8" max="8" width="42.86"/>
    <col customWidth="1" min="9" max="30" width="8.71"/>
  </cols>
  <sheetData>
    <row r="1" ht="14.25" customHeight="1">
      <c r="A1" s="1" t="s">
        <v>0</v>
      </c>
      <c r="B1" s="1" t="s">
        <v>1</v>
      </c>
      <c r="C1" s="1" t="s">
        <v>2</v>
      </c>
      <c r="D1" s="1" t="s">
        <v>3</v>
      </c>
      <c r="E1" s="1" t="s">
        <v>4</v>
      </c>
      <c r="F1" s="1" t="s">
        <v>5</v>
      </c>
      <c r="G1" s="2" t="s">
        <v>6</v>
      </c>
      <c r="H1" s="3" t="s">
        <v>6</v>
      </c>
      <c r="I1" s="2" t="s">
        <v>7</v>
      </c>
    </row>
    <row r="2" ht="14.25" customHeight="1">
      <c r="A2" s="4" t="s">
        <v>8</v>
      </c>
      <c r="B2" s="5">
        <v>1.0</v>
      </c>
      <c r="C2" s="4" t="s">
        <v>9</v>
      </c>
      <c r="D2" s="6" t="s">
        <v>10</v>
      </c>
      <c r="E2" s="6" t="s">
        <v>11</v>
      </c>
      <c r="F2" s="7" t="s">
        <v>12</v>
      </c>
      <c r="G2" s="5" t="s">
        <v>13</v>
      </c>
      <c r="H2" s="8" t="str">
        <f t="array" ref="H2:H1000">IF(ISBLANK(G2:G1000), ,SUBSTITUTE(G2:G1000, CHAR(10), " "))</f>
        <v>Public education unlocks the doors to the world and allows our democracy
 and economy to flourish. Children who have learned the skill of lifelong
 learning are prepared to chart their own path. Teaching and learning go
 beyond a focus on a single academic assessment. North Carolina public
 schools should be places where students build a strong foundation in early
 childhood, learn to think critically and develop good character.
 Throughout their journey in public education, students will not only develop
 foundational skills in reading, writing, mathematics, the sciences and civic
 engagement, but will also be given ample opportunities to find inspiration
 and growth through world languages, arts, career and technical education
 (CTE) courses, physical education, health, financial literacy, college-level
 courses, and co-curricular and extracurricular activities, such as athletics.
 Students will also develop work-ready skills needed to succeed in college,
 career and their lives beyond pre-K–12 instruction.
 Preparing our students for the next phase of their lives means giving them
 the tools that all people need to function in the 21st century. It also means
 ensuring access to opportunities after they graduate from high school.
 Because every student is different, the preparation they need must be
 flexible and responsive, tailored to their individual needs.</v>
      </c>
      <c r="I2" s="4" t="str">
        <f>IFERROR(__xludf.DUMMYFUNCTION("ARRAYFORMULA(IF(ISBLANK(G2:G1000), , TRIM(REGEXREPLACE(SUBSTITUTE(G2:G1000, CHAR(10), "" ""), ""(.{1,60})(?:\s+|$)"", ""$1"" &amp; CHAR(10))) ))"),"Public education unlocks the doors to the world and allows
our democracy
 and economy to flourish. Children who have
learned the skill of lifelong
 learning are prepared to
chart their own path. Teaching and learning go
 beyond a
focus on a single academi"&amp;"c assessment. North Carolina public
schools should be places where students build a strong
foundation in early
 childhood, learn to think critically
and develop good character.
 Throughout their journey in
public education, students will not only develop
"&amp;"
foundational skills in reading, writing, mathematics, the
sciences and civic
 engagement, but will also be given ample
opportunities to find inspiration
 and growth through world
languages, arts, career and technical education
 (CTE)
courses, physical ed"&amp;"ucation, health, financial literacy,
college-level
 courses, and co-curricular and
extracurricular activities, such as athletics.
 Students
will also develop work-ready skills needed to succeed in
college,
 career and their lives beyond pre-K–12
instructi"&amp;"on.
 Preparing our students for the next phase of
their lives means giving them
 the tools that all people
need to function in the 21st century. It also means
ensuring access to opportunities after they graduate from
high school.
 Because every student i"&amp;"s different, the
preparation they need must be
 flexible and responsive,
tailored to their individual needs.")</f>
        <v>Public education unlocks the doors to the world and allows
our democracy
 and economy to flourish. Children who have
learned the skill of lifelong
 learning are prepared to
chart their own path. Teaching and learning go
 beyond a
focus on a single academic assessment. North Carolina public
schools should be places where students build a strong
foundation in early
 childhood, learn to think critically
and develop good character.
 Throughout their journey in
public education, students will not only develop
foundational skills in reading, writing, mathematics, the
sciences and civic
 engagement, but will also be given ample
opportunities to find inspiration
 and growth through world
languages, arts, career and technical education
 (CTE)
courses, physical education, health, financial literacy,
college-level
 courses, and co-curricular and
extracurricular activities, such as athletics.
 Students
will also develop work-ready skills needed to succeed in
college,
 career and their lives beyond pre-K–12
instruction.
 Preparing our students for the next phase of
their lives means giving them
 the tools that all people
need to function in the 21st century. It also means
ensuring access to opportunities after they graduate from
high school.
 Because every student is different, the
preparation they need must be
 flexible and responsive,
tailored to their individual needs.</v>
      </c>
    </row>
    <row r="3" ht="14.25" customHeight="1">
      <c r="A3" s="4" t="s">
        <v>14</v>
      </c>
      <c r="B3" s="5">
        <v>2.0</v>
      </c>
      <c r="C3" s="4" t="s">
        <v>15</v>
      </c>
      <c r="D3" s="9" t="s">
        <v>15</v>
      </c>
      <c r="E3" s="10"/>
      <c r="F3" s="7" t="s">
        <v>16</v>
      </c>
      <c r="G3" s="5" t="s">
        <v>17</v>
      </c>
      <c r="H3" s="11" t="s">
        <v>18</v>
      </c>
      <c r="I3" s="4" t="str">
        <f>IFERROR(__xludf.DUMMYFUNCTION("""COMPUTED_VALUE"""),"To fully prepare each student for their next phase of life,
we must first honor and uplift those who make that
preparation possible: the dedicated professionals who serve
in our public schools. Every adult in a school building
plays a vital role in shapin"&amp;"g the student experience and
contributing to student success. North Carolina’s public
school professionals are the single most important in-school
factor influencing student learning. Yet today, they are not
compensated adequately, and too often, their wo"&amp;"rking
conditions fail to reflect the deep respect they deserve.
Reversing this trend is not just a moral imperative — it is
essential to the future of our students and our state. To
truly revere our educators and school staff, we must start
by ensuring co"&amp;"mpetitive pay for our educators – beginning
and veterans, alike. We must go further to ensure supportive
and respectful working environments and provide resources
necessary for every professional to thrive throughout their
career. We must also elevate all"&amp;" educational roles and
recognize the profession as an aspirational career that
attracts and retains talented individuals committed to
public service. Education must be a profession of choice,
pride and purpose.")</f>
        <v>To fully prepare each student for their next phase of life,
we must first honor and uplift those who make that
preparation possible: the dedicated professionals who serve
in our public schools. Every adult in a school building
plays a vital role in shaping the student experience and
contributing to student success. North Carolina’s public
school professionals are the single most important in-school
factor influencing student learning. Yet today, they are not
compensated adequately, and too often, their working
conditions fail to reflect the deep respect they deserve.
Reversing this trend is not just a moral imperative — it is
essential to the future of our students and our state. To
truly revere our educators and school staff, we must start
by ensuring competitive pay for our educators – beginning
and veterans, alike. We must go further to ensure supportive
and respectful working environments and provide resources
necessary for every professional to thrive throughout their
career. We must also elevate all educational roles and
recognize the profession as an aspirational career that
attracts and retains talented individuals committed to
public service. Education must be a profession of choice,
pride and purpose.</v>
      </c>
    </row>
    <row r="4" ht="14.25" customHeight="1">
      <c r="A4" s="4" t="s">
        <v>19</v>
      </c>
      <c r="B4" s="5">
        <v>3.0</v>
      </c>
      <c r="C4" s="4" t="s">
        <v>20</v>
      </c>
      <c r="D4" s="6" t="s">
        <v>21</v>
      </c>
      <c r="E4" s="6" t="s">
        <v>22</v>
      </c>
      <c r="F4" s="7" t="s">
        <v>23</v>
      </c>
      <c r="G4" s="5" t="s">
        <v>24</v>
      </c>
      <c r="H4" s="11" t="s">
        <v>25</v>
      </c>
      <c r="I4" s="4" t="str">
        <f>IFERROR(__xludf.DUMMYFUNCTION("""COMPUTED_VALUE"""),"While schools are a powerful force in a child’s life, there
are many
 important partners who support our state’s
students. Parents, guardians
 and other caregivers
(collectively referred to here as “parents”) are the
 most
important people in a child’s li"&amp;"fe and they are the most
important
 partners for schools. Important, too, are
community organizations, houses
 of worship, nonprofits,
healthcare providers, philanthropies, mental
 health
providers, social service providers, volunteers and
community
 orga"&amp;"nizations that impact children. Study after
study shows that students
 who have strong parent and/or
community support do far better than
 students who do not.
Parents and community also make a major
 difference in the
life of the school itself, creating "&amp;"the type of environment
where students learn and grow.
 Educators must be empowered
to establish strong relationships with
 families and view
family and community stakeholders as true partners in
decision-making processes. In turn, families will feel
st"&amp;"rongly connected
 to their students’ schools. Communities
should see their public schools as
 the anchor.")</f>
        <v>While schools are a powerful force in a child’s life, there
are many
 important partners who support our state’s
students. Parents, guardians
 and other caregivers
(collectively referred to here as “parents”) are the
 most
important people in a child’s life and they are the most
important
 partners for schools. Important, too, are
community organizations, houses
 of worship, nonprofits,
healthcare providers, philanthropies, mental
 health
providers, social service providers, volunteers and
community
 organizations that impact children. Study after
study shows that students
 who have strong parent and/or
community support do far better than
 students who do not.
Parents and community also make a major
 difference in the
life of the school itself, creating the type of environment
where students learn and grow.
 Educators must be empowered
to establish strong relationships with
 families and view
family and community stakeholders as true partners in
decision-making processes. In turn, families will feel
strongly connected
 to their students’ schools. Communities
should see their public schools as
 the anchor.</v>
      </c>
    </row>
    <row r="5" ht="14.25" customHeight="1">
      <c r="A5" s="4" t="s">
        <v>26</v>
      </c>
      <c r="B5" s="5">
        <v>4.0</v>
      </c>
      <c r="C5" s="4" t="s">
        <v>27</v>
      </c>
      <c r="D5" s="6" t="s">
        <v>28</v>
      </c>
      <c r="E5" s="6" t="s">
        <v>29</v>
      </c>
      <c r="F5" s="7" t="s">
        <v>30</v>
      </c>
      <c r="G5" s="5" t="s">
        <v>31</v>
      </c>
      <c r="H5" s="11" t="s">
        <v>32</v>
      </c>
      <c r="I5" s="4" t="str">
        <f>IFERROR(__xludf.DUMMYFUNCTION("""COMPUTED_VALUE"""),"Students and staff in our public schools are not able to
achieve
 educational excellence unless we ensure their
safety and well-being.
 Physical safety must balance
effective security measures with maintaining
 welcoming,
nurturing spaces. Through thought"&amp;"ful design, staff training
and appropriate protocols, we should create environments
where
 students and staff can focus on teaching and
learning. Within these
 environments, proven, research-based
practices that foster emotional
 security and physical an"&amp;"d
mental well-being should be implemented.
 School counselors,
social workers, nurses and psychologists work
collaboratively with teachers to provide appropriate support
tailored to
 individual student needs. Overall, schools must
be places where student"&amp;"s
 develop resilience, build
relationships and prepare for their futures in safe,
 secure
environments that nurture their full potential.")</f>
        <v>Students and staff in our public schools are not able to
achieve
 educational excellence unless we ensure their
safety and well-being.
 Physical safety must balance
effective security measures with maintaining
 welcoming,
nurturing spaces. Through thoughtful design, staff training
and appropriate protocols, we should create environments
where
 students and staff can focus on teaching and
learning. Within these
 environments, proven, research-based
practices that foster emotional
 security and physical and
mental well-being should be implemented.
 School counselors,
social workers, nurses and psychologists work
collaboratively with teachers to provide appropriate support
tailored to
 individual student needs. Overall, schools must
be places where students
 develop resilience, build
relationships and prepare for their futures in safe,
 secure
environments that nurture their full potential.</v>
      </c>
    </row>
    <row r="6" ht="14.25" customHeight="1">
      <c r="A6" s="4" t="s">
        <v>33</v>
      </c>
      <c r="B6" s="5">
        <v>5.0</v>
      </c>
      <c r="C6" s="4" t="s">
        <v>34</v>
      </c>
      <c r="D6" s="6" t="s">
        <v>34</v>
      </c>
      <c r="E6" s="6"/>
      <c r="F6" s="7" t="s">
        <v>35</v>
      </c>
      <c r="G6" s="5" t="s">
        <v>36</v>
      </c>
      <c r="H6" s="11" t="s">
        <v>37</v>
      </c>
      <c r="I6" s="4" t="str">
        <f>IFERROR(__xludf.DUMMYFUNCTION("""COMPUTED_VALUE"""),"NCDPI is committed to reimagining its operational
infrastructure to better
 serve schools and districts
through a focus on organizational excellence.
 At the core
of this pillar is NCDPI’s unwavering dedication to support
PSUs in providing a high-quality"&amp;" education for every
student. Through
 modernized operations at both the state
and local levels, we aim to use
 cutting-edge technology,
streamlined processes and data-informed
 decision-making to
eliminate unnecessary administrative burdens. This
operat"&amp;"ional focus extends beyond NCDPI itself, as the agency
will actively
 partner with PSUs across the state to model
operational efficiency and
 share best practices. Through
this pillar, NCDPI will model that careful
 attention to
processes, systems and ser"&amp;"vice delivery creates the
essential
 foundation upon which educational innovation can
flourish, ultimately
 ensuring that North Carolina’s public
schools operate with maximum
 effectiveness to support the
success of every student.")</f>
        <v>NCDPI is committed to reimagining its operational
infrastructure to better
 serve schools and districts
through a focus on organizational excellence.
 At the core
of this pillar is NCDPI’s unwavering dedication to support
PSUs in providing a high-quality education for every
student. Through
 modernized operations at both the state
and local levels, we aim to use
 cutting-edge technology,
streamlined processes and data-informed
 decision-making to
eliminate unnecessary administrative burdens. This
operational focus extends beyond NCDPI itself, as the agency
will actively
 partner with PSUs across the state to model
operational efficiency and
 share best practices. Through
this pillar, NCDPI will model that careful
 attention to
processes, systems and service delivery creates the
essential
 foundation upon which educational innovation can
flourish, ultimately
 ensuring that North Carolina’s public
schools operate with maximum
 effectiveness to support the
success of every student.</v>
      </c>
    </row>
    <row r="7" ht="14.25" customHeight="1">
      <c r="A7" s="4" t="s">
        <v>38</v>
      </c>
      <c r="B7" s="5">
        <v>6.0</v>
      </c>
      <c r="C7" s="4" t="s">
        <v>39</v>
      </c>
      <c r="D7" s="6" t="s">
        <v>39</v>
      </c>
      <c r="E7" s="6"/>
      <c r="F7" s="7" t="s">
        <v>40</v>
      </c>
      <c r="G7" s="5" t="s">
        <v>41</v>
      </c>
      <c r="H7" s="11" t="s">
        <v>42</v>
      </c>
      <c r="I7" s="4" t="str">
        <f>IFERROR(__xludf.DUMMYFUNCTION("""COMPUTED_VALUE"""),"North Carolina stands ready to pioneer approaches that will
position our
 state as a national leader in public education
excellence. At the heart
 of this pillar is a commitment to
research and development that sparks
 educational
reimagining through thou"&amp;"ghtful innovation. NCDPI will serve
as both catalyst and facilitator, establishing networks that
transcend
 boundaries between traditional public schools,
charter schools and lab
 schools, sharing promising
practices and scaling effective innovations.
 T"&amp;"hrough
community-driven school designs and different approaches to
testing and accountability, we will ensure innovation
remains grounded in
 local needs while benefiting from
statewide expertise. Our commitment
 also extends to funding
reform that prior"&amp;"itizes transparency, flexibility, a
 focus
on student needs and increased investments. This pillar
represents
 our commitment to the thoughtful, deliberate
work of innovation and
 elevating North Carolina’s public
schools to new heights by strategically
 "&amp;"using research,
networks and integrated systems.")</f>
        <v>North Carolina stands ready to pioneer approaches that will
position our
 state as a national leader in public education
excellence. At the heart
 of this pillar is a commitment to
research and development that sparks
 educational
reimagining through thoughtful innovation. NCDPI will serve
as both catalyst and facilitator, establishing networks that
transcend
 boundaries between traditional public schools,
charter schools and lab
 schools, sharing promising
practices and scaling effective innovations.
 Through
community-driven school designs and different approaches to
testing and accountability, we will ensure innovation
remains grounded in
 local needs while benefiting from
statewide expertise. Our commitment
 also extends to funding
reform that prioritizes transparency, flexibility, a
 focus
on student needs and increased investments. This pillar
represents
 our commitment to the thoughtful, deliberate
work of innovation and
 elevating North Carolina’s public
schools to new heights by strategically
 using research,
networks and integrated systems.</v>
      </c>
    </row>
    <row r="8" ht="14.25" customHeight="1">
      <c r="A8" s="4" t="s">
        <v>43</v>
      </c>
      <c r="B8" s="5">
        <v>7.0</v>
      </c>
      <c r="C8" s="4" t="s">
        <v>44</v>
      </c>
      <c r="D8" s="6" t="s">
        <v>45</v>
      </c>
      <c r="E8" s="6" t="s">
        <v>46</v>
      </c>
      <c r="F8" s="7" t="s">
        <v>47</v>
      </c>
      <c r="G8" s="5" t="s">
        <v>48</v>
      </c>
      <c r="H8" s="11" t="s">
        <v>49</v>
      </c>
      <c r="I8" s="4" t="str">
        <f>IFERROR(__xludf.DUMMYFUNCTION("""COMPUTED_VALUE"""),"Families all across North Carolina send their children to
their local public
 school – in fact, the vast majority of
them do choose public education.
 They entrust their
children to the educators whose bright faces greet
 them
each morning. They build com"&amp;"munity around high school
football
 games and middle school band performances. Each
year, thousands of
 students walk across stages to cheers
and tears as they are prepared to
 go out and lead the life
they choose. Our schools did not become bright
 beaco"&amp;"ns of
hope all on their own. Generations of North Carolinians are
proud of our public schools, share their support for schools
and have
 made the choice to invest in them and make them
strong, which is
 noteworthy. It is vitally important that
these choi"&amp;"ces are celebrated and
 that more make similar
choices.")</f>
        <v>Families all across North Carolina send their children to
their local public
 school – in fact, the vast majority of
them do choose public education.
 They entrust their
children to the educators whose bright faces greet
 them
each morning. They build community around high school
football
 games and middle school band performances. Each
year, thousands of
 students walk across stages to cheers
and tears as they are prepared to
 go out and lead the life
they choose. Our schools did not become bright
 beacons of
hope all on their own. Generations of North Carolinians are
proud of our public schools, share their support for schools
and have
 made the choice to invest in them and make them
strong, which is
 noteworthy. It is vitally important that
these choices are celebrated and
 that more make similar
choices.</v>
      </c>
    </row>
    <row r="9" ht="14.25" customHeight="1">
      <c r="A9" s="4" t="s">
        <v>50</v>
      </c>
      <c r="B9" s="5">
        <v>8.0</v>
      </c>
      <c r="C9" s="4" t="s">
        <v>51</v>
      </c>
      <c r="D9" s="6" t="s">
        <v>52</v>
      </c>
      <c r="E9" s="6" t="s">
        <v>53</v>
      </c>
      <c r="F9" s="7" t="s">
        <v>54</v>
      </c>
      <c r="G9" s="5" t="s">
        <v>55</v>
      </c>
      <c r="H9" s="11" t="s">
        <v>56</v>
      </c>
      <c r="I9" s="4" t="str">
        <f>IFERROR(__xludf.DUMMYFUNCTION("""COMPUTED_VALUE"""),"North Carolina’s journey toward educational excellence
requires more than vision and strategy — it demands the
engagement, advocacy and investment of champions across our
state who recognize public education as the cornerstone of
our shared prosperity and"&amp;" collective future. This pillar
builds upon efforts to transform the narrative around public
schools by converting positive perception into concrete
action by aligning partners behind a unified commitment to
educational excellence. We envision a powerful "&amp;"network of
non-education partners who bring fresh perspectives,
resources and influence to advocacy efforts. By developing a
formal alliance of nonprofit, philanthropic and business
champions, we can systematically advocate for increased
public school inv"&amp;"estments, particularly for critical
infrastructure needs and competitive educator compensation.
By elevating authentic stories from local communities, we
will showcase the remarkable achievements occurring daily in
classrooms across North Carolina, creati"&amp;"ng connections that
inspire deeper engagement while honestly acknowledging
challenges and transparently communicating our strategies to
address them. By galvanizing champions across every sector
of our state — from rural communities to urban centers, from"&amp;"
small businesses to major corporations, from parents to
retirees — we create a force for educational investment and
improvement that propels North Carolina’s public schools to
be recognized as the very best in the nation, fulfilling our
obligation to pro"&amp;"vide every child the world-class education
they deserve.")</f>
        <v>North Carolina’s journey toward educational excellence
requires more than vision and strategy — it demands the
engagement, advocacy and investment of champions across our
state who recognize public education as the cornerstone of
our shared prosperity and collective future. This pillar
builds upon efforts to transform the narrative around public
schools by converting positive perception into concrete
action by aligning partners behind a unified commitment to
educational excellence. We envision a powerful network of
non-education partners who bring fresh perspectives,
resources and influence to advocacy efforts. By developing a
formal alliance of nonprofit, philanthropic and business
champions, we can systematically advocate for increased
public school investments, particularly for critical
infrastructure needs and competitive educator compensation.
By elevating authentic stories from local communities, we
will showcase the remarkable achievements occurring daily in
classrooms across North Carolina, creating connections that
inspire deeper engagement while honestly acknowledging
challenges and transparently communicating our strategies to
address them. By galvanizing champions across every sector
of our state — from rural communities to urban centers, from
small businesses to major corporations, from parents to
retirees — we create a force for educational investment and
improvement that propels North Carolina’s public schools to
be recognized as the very best in the nation, fulfilling our
obligation to provide every child the world-class education
they deserve.</v>
      </c>
    </row>
    <row r="10" ht="14.25" customHeight="1">
      <c r="H10" s="11"/>
      <c r="I10" s="4"/>
    </row>
    <row r="11" ht="14.25" customHeight="1">
      <c r="H11" s="11"/>
      <c r="I11" s="4"/>
    </row>
    <row r="12" ht="14.25" customHeight="1">
      <c r="H12" s="11"/>
      <c r="I12" s="4"/>
    </row>
    <row r="13" ht="14.25" customHeight="1">
      <c r="H13" s="11"/>
      <c r="I13" s="4"/>
    </row>
    <row r="14" ht="14.25" customHeight="1">
      <c r="H14" s="11"/>
      <c r="I14" s="4"/>
    </row>
    <row r="15" ht="14.25" customHeight="1">
      <c r="H15" s="11"/>
      <c r="I15" s="4"/>
    </row>
    <row r="16" ht="14.25" customHeight="1">
      <c r="H16" s="11"/>
      <c r="I16" s="4"/>
    </row>
    <row r="17" ht="14.25" customHeight="1">
      <c r="H17" s="11"/>
      <c r="I17" s="4"/>
    </row>
    <row r="18" ht="14.25" customHeight="1">
      <c r="H18" s="11"/>
      <c r="I18" s="4"/>
    </row>
    <row r="19" ht="14.25" customHeight="1">
      <c r="H19" s="11"/>
      <c r="I19" s="4"/>
    </row>
    <row r="20" ht="14.25" customHeight="1">
      <c r="H20" s="11"/>
      <c r="I20" s="4"/>
    </row>
    <row r="21" ht="14.25" customHeight="1">
      <c r="H21" s="11"/>
      <c r="I21" s="4"/>
    </row>
    <row r="22" ht="14.25" customHeight="1">
      <c r="H22" s="11"/>
      <c r="I22" s="4"/>
    </row>
    <row r="23" ht="14.25" customHeight="1">
      <c r="H23" s="11"/>
      <c r="I23" s="4"/>
    </row>
    <row r="24" ht="14.25" customHeight="1">
      <c r="H24" s="11"/>
      <c r="I24" s="4"/>
    </row>
    <row r="25" ht="14.25" customHeight="1">
      <c r="H25" s="11"/>
      <c r="I25" s="4"/>
    </row>
    <row r="26" ht="14.25" customHeight="1">
      <c r="H26" s="11"/>
      <c r="I26" s="4"/>
    </row>
    <row r="27" ht="14.25" customHeight="1">
      <c r="H27" s="11"/>
      <c r="I27" s="4"/>
    </row>
    <row r="28" ht="14.25" customHeight="1">
      <c r="H28" s="11"/>
      <c r="I28" s="4"/>
    </row>
    <row r="29" ht="14.25" customHeight="1">
      <c r="H29" s="11"/>
      <c r="I29" s="4"/>
    </row>
    <row r="30" ht="14.25" customHeight="1">
      <c r="H30" s="11"/>
      <c r="I30" s="4"/>
    </row>
    <row r="31" ht="14.25" customHeight="1">
      <c r="H31" s="11"/>
      <c r="I31" s="4"/>
    </row>
    <row r="32" ht="14.25" customHeight="1">
      <c r="H32" s="11"/>
      <c r="I32" s="4"/>
    </row>
    <row r="33" ht="14.25" customHeight="1">
      <c r="H33" s="11"/>
      <c r="I33" s="4"/>
    </row>
    <row r="34" ht="14.25" customHeight="1">
      <c r="H34" s="11"/>
      <c r="I34" s="4"/>
    </row>
    <row r="35" ht="14.25" customHeight="1">
      <c r="H35" s="11"/>
      <c r="I35" s="4"/>
    </row>
    <row r="36" ht="14.25" customHeight="1">
      <c r="H36" s="11"/>
      <c r="I36" s="4"/>
    </row>
    <row r="37" ht="14.25" customHeight="1">
      <c r="H37" s="11"/>
      <c r="I37" s="4"/>
    </row>
    <row r="38" ht="14.25" customHeight="1">
      <c r="H38" s="11"/>
      <c r="I38" s="4"/>
    </row>
    <row r="39" ht="14.25" customHeight="1">
      <c r="H39" s="11"/>
      <c r="I39" s="4"/>
    </row>
    <row r="40" ht="14.25" customHeight="1">
      <c r="H40" s="11"/>
      <c r="I40" s="4"/>
    </row>
    <row r="41" ht="14.25" customHeight="1">
      <c r="H41" s="11"/>
      <c r="I41" s="4"/>
    </row>
    <row r="42" ht="14.25" customHeight="1">
      <c r="H42" s="11"/>
      <c r="I42" s="4"/>
    </row>
    <row r="43" ht="14.25" customHeight="1">
      <c r="H43" s="11"/>
      <c r="I43" s="4"/>
    </row>
    <row r="44" ht="14.25" customHeight="1">
      <c r="H44" s="11"/>
      <c r="I44" s="4"/>
    </row>
    <row r="45" ht="14.25" customHeight="1">
      <c r="H45" s="11"/>
      <c r="I45" s="4"/>
    </row>
    <row r="46" ht="14.25" customHeight="1">
      <c r="H46" s="11"/>
      <c r="I46" s="4"/>
    </row>
    <row r="47" ht="14.25" customHeight="1">
      <c r="H47" s="11"/>
      <c r="I47" s="4"/>
    </row>
    <row r="48" ht="14.25" customHeight="1">
      <c r="H48" s="11"/>
      <c r="I48" s="4"/>
    </row>
    <row r="49" ht="14.25" customHeight="1">
      <c r="H49" s="11"/>
      <c r="I49" s="4"/>
    </row>
    <row r="50" ht="14.25" customHeight="1">
      <c r="H50" s="11"/>
      <c r="I50" s="4"/>
    </row>
    <row r="51" ht="14.25" customHeight="1">
      <c r="H51" s="11"/>
      <c r="I51" s="4"/>
    </row>
    <row r="52" ht="14.25" customHeight="1">
      <c r="H52" s="11"/>
      <c r="I52" s="4"/>
    </row>
    <row r="53" ht="14.25" customHeight="1">
      <c r="H53" s="11"/>
      <c r="I53" s="4"/>
    </row>
    <row r="54" ht="14.25" customHeight="1">
      <c r="H54" s="11"/>
      <c r="I54" s="4"/>
    </row>
    <row r="55" ht="14.25" customHeight="1">
      <c r="H55" s="11"/>
      <c r="I55" s="4"/>
    </row>
    <row r="56" ht="14.25" customHeight="1">
      <c r="H56" s="11"/>
      <c r="I56" s="4"/>
    </row>
    <row r="57" ht="14.25" customHeight="1">
      <c r="H57" s="11"/>
      <c r="I57" s="4"/>
    </row>
    <row r="58" ht="14.25" customHeight="1">
      <c r="H58" s="11"/>
      <c r="I58" s="4"/>
    </row>
    <row r="59" ht="14.25" customHeight="1">
      <c r="H59" s="11"/>
      <c r="I59" s="4"/>
    </row>
    <row r="60" ht="14.25" customHeight="1">
      <c r="H60" s="11"/>
      <c r="I60" s="4"/>
    </row>
    <row r="61" ht="14.25" customHeight="1">
      <c r="H61" s="11"/>
      <c r="I61" s="4"/>
    </row>
    <row r="62" ht="14.25" customHeight="1">
      <c r="H62" s="11"/>
      <c r="I62" s="4"/>
    </row>
    <row r="63" ht="14.25" customHeight="1">
      <c r="H63" s="11"/>
      <c r="I63" s="4"/>
    </row>
    <row r="64" ht="14.25" customHeight="1">
      <c r="H64" s="11"/>
      <c r="I64" s="4"/>
    </row>
    <row r="65" ht="14.25" customHeight="1">
      <c r="H65" s="11"/>
      <c r="I65" s="4"/>
    </row>
    <row r="66" ht="14.25" customHeight="1">
      <c r="H66" s="11"/>
      <c r="I66" s="4"/>
    </row>
    <row r="67" ht="14.25" customHeight="1">
      <c r="H67" s="11"/>
      <c r="I67" s="4"/>
    </row>
    <row r="68" ht="14.25" customHeight="1">
      <c r="H68" s="11"/>
      <c r="I68" s="4"/>
    </row>
    <row r="69" ht="14.25" customHeight="1">
      <c r="H69" s="11"/>
      <c r="I69" s="4"/>
    </row>
    <row r="70" ht="14.25" customHeight="1">
      <c r="H70" s="11"/>
      <c r="I70" s="4"/>
    </row>
    <row r="71" ht="14.25" customHeight="1">
      <c r="H71" s="11"/>
      <c r="I71" s="4"/>
    </row>
    <row r="72" ht="14.25" customHeight="1">
      <c r="H72" s="11"/>
      <c r="I72" s="4"/>
    </row>
    <row r="73" ht="14.25" customHeight="1">
      <c r="H73" s="11"/>
      <c r="I73" s="4"/>
    </row>
    <row r="74" ht="14.25" customHeight="1">
      <c r="H74" s="11"/>
      <c r="I74" s="4"/>
    </row>
    <row r="75" ht="14.25" customHeight="1">
      <c r="H75" s="11"/>
      <c r="I75" s="4"/>
    </row>
    <row r="76" ht="14.25" customHeight="1">
      <c r="H76" s="11"/>
      <c r="I76" s="4"/>
    </row>
    <row r="77" ht="14.25" customHeight="1">
      <c r="H77" s="11"/>
      <c r="I77" s="4"/>
    </row>
    <row r="78" ht="14.25" customHeight="1">
      <c r="H78" s="11"/>
      <c r="I78" s="4"/>
    </row>
    <row r="79" ht="14.25" customHeight="1">
      <c r="H79" s="11"/>
      <c r="I79" s="4"/>
    </row>
    <row r="80" ht="14.25" customHeight="1">
      <c r="H80" s="11"/>
      <c r="I80" s="4"/>
    </row>
    <row r="81" ht="14.25" customHeight="1">
      <c r="H81" s="11"/>
      <c r="I81" s="4"/>
    </row>
    <row r="82" ht="14.25" customHeight="1">
      <c r="H82" s="11"/>
      <c r="I82" s="4"/>
    </row>
    <row r="83" ht="14.25" customHeight="1">
      <c r="H83" s="11"/>
      <c r="I83" s="4"/>
    </row>
    <row r="84" ht="14.25" customHeight="1">
      <c r="H84" s="11"/>
      <c r="I84" s="4"/>
    </row>
    <row r="85" ht="14.25" customHeight="1">
      <c r="H85" s="11"/>
      <c r="I85" s="4"/>
    </row>
    <row r="86" ht="14.25" customHeight="1">
      <c r="H86" s="11"/>
      <c r="I86" s="4"/>
    </row>
    <row r="87" ht="14.25" customHeight="1">
      <c r="H87" s="11"/>
      <c r="I87" s="4"/>
    </row>
    <row r="88" ht="14.25" customHeight="1">
      <c r="H88" s="11"/>
      <c r="I88" s="4"/>
    </row>
    <row r="89" ht="14.25" customHeight="1">
      <c r="H89" s="11"/>
      <c r="I89" s="4"/>
    </row>
    <row r="90" ht="14.25" customHeight="1">
      <c r="H90" s="11"/>
      <c r="I90" s="4"/>
    </row>
    <row r="91" ht="14.25" customHeight="1">
      <c r="H91" s="11"/>
      <c r="I91" s="4"/>
    </row>
    <row r="92" ht="14.25" customHeight="1">
      <c r="H92" s="11"/>
      <c r="I92" s="4"/>
    </row>
    <row r="93" ht="14.25" customHeight="1">
      <c r="H93" s="11"/>
      <c r="I93" s="4"/>
    </row>
    <row r="94" ht="14.25" customHeight="1">
      <c r="H94" s="11"/>
      <c r="I94" s="4"/>
    </row>
    <row r="95" ht="14.25" customHeight="1">
      <c r="H95" s="11"/>
      <c r="I95" s="4"/>
    </row>
    <row r="96" ht="14.25" customHeight="1">
      <c r="H96" s="11"/>
      <c r="I96" s="4"/>
    </row>
    <row r="97" ht="14.25" customHeight="1">
      <c r="H97" s="11"/>
      <c r="I97" s="4"/>
    </row>
    <row r="98" ht="14.25" customHeight="1">
      <c r="H98" s="11"/>
      <c r="I98" s="4"/>
    </row>
    <row r="99" ht="14.25" customHeight="1">
      <c r="H99" s="11"/>
      <c r="I99" s="4"/>
    </row>
    <row r="100" ht="14.25" customHeight="1">
      <c r="H100" s="11"/>
      <c r="I100" s="4"/>
    </row>
    <row r="101" ht="14.25" customHeight="1">
      <c r="H101" s="11"/>
      <c r="I101" s="4"/>
    </row>
    <row r="102" ht="14.25" customHeight="1">
      <c r="H102" s="11"/>
      <c r="I102" s="4"/>
    </row>
    <row r="103" ht="14.25" customHeight="1">
      <c r="H103" s="11"/>
      <c r="I103" s="4"/>
    </row>
    <row r="104" ht="14.25" customHeight="1">
      <c r="H104" s="11"/>
      <c r="I104" s="4"/>
    </row>
    <row r="105" ht="14.25" customHeight="1">
      <c r="H105" s="11"/>
      <c r="I105" s="4"/>
    </row>
    <row r="106" ht="14.25" customHeight="1">
      <c r="H106" s="11"/>
      <c r="I106" s="4"/>
    </row>
    <row r="107" ht="14.25" customHeight="1">
      <c r="H107" s="11"/>
      <c r="I107" s="4"/>
    </row>
    <row r="108" ht="14.25" customHeight="1">
      <c r="H108" s="11"/>
      <c r="I108" s="4"/>
    </row>
    <row r="109" ht="14.25" customHeight="1">
      <c r="H109" s="11"/>
      <c r="I109" s="4"/>
    </row>
    <row r="110" ht="14.25" customHeight="1">
      <c r="H110" s="11"/>
      <c r="I110" s="4"/>
    </row>
    <row r="111" ht="14.25" customHeight="1">
      <c r="H111" s="11"/>
      <c r="I111" s="4"/>
    </row>
    <row r="112" ht="14.25" customHeight="1">
      <c r="H112" s="11"/>
      <c r="I112" s="4"/>
    </row>
    <row r="113" ht="14.25" customHeight="1">
      <c r="H113" s="11"/>
      <c r="I113" s="4"/>
    </row>
    <row r="114" ht="14.25" customHeight="1">
      <c r="H114" s="11"/>
      <c r="I114" s="4"/>
    </row>
    <row r="115" ht="14.25" customHeight="1">
      <c r="H115" s="11"/>
      <c r="I115" s="4"/>
    </row>
    <row r="116" ht="14.25" customHeight="1">
      <c r="H116" s="11"/>
      <c r="I116" s="4"/>
    </row>
    <row r="117" ht="14.25" customHeight="1">
      <c r="H117" s="11"/>
      <c r="I117" s="4"/>
    </row>
    <row r="118" ht="14.25" customHeight="1">
      <c r="H118" s="11"/>
      <c r="I118" s="4"/>
    </row>
    <row r="119" ht="14.25" customHeight="1">
      <c r="H119" s="11"/>
      <c r="I119" s="4"/>
    </row>
    <row r="120" ht="14.25" customHeight="1">
      <c r="H120" s="11"/>
      <c r="I120" s="4"/>
    </row>
    <row r="121" ht="14.25" customHeight="1">
      <c r="H121" s="11"/>
      <c r="I121" s="4"/>
    </row>
    <row r="122" ht="14.25" customHeight="1">
      <c r="H122" s="11"/>
      <c r="I122" s="4"/>
    </row>
    <row r="123" ht="14.25" customHeight="1">
      <c r="H123" s="11"/>
      <c r="I123" s="4"/>
    </row>
    <row r="124" ht="14.25" customHeight="1">
      <c r="H124" s="11"/>
      <c r="I124" s="4"/>
    </row>
    <row r="125" ht="14.25" customHeight="1">
      <c r="H125" s="11"/>
      <c r="I125" s="4"/>
    </row>
    <row r="126" ht="14.25" customHeight="1">
      <c r="H126" s="11"/>
      <c r="I126" s="4"/>
    </row>
    <row r="127" ht="14.25" customHeight="1">
      <c r="H127" s="11"/>
      <c r="I127" s="4"/>
    </row>
    <row r="128" ht="14.25" customHeight="1">
      <c r="H128" s="11"/>
      <c r="I128" s="4"/>
    </row>
    <row r="129" ht="14.25" customHeight="1">
      <c r="H129" s="11"/>
      <c r="I129" s="4"/>
    </row>
    <row r="130" ht="14.25" customHeight="1">
      <c r="H130" s="11"/>
      <c r="I130" s="4"/>
    </row>
    <row r="131" ht="14.25" customHeight="1">
      <c r="H131" s="11"/>
      <c r="I131" s="4"/>
    </row>
    <row r="132" ht="14.25" customHeight="1">
      <c r="H132" s="11"/>
      <c r="I132" s="4"/>
    </row>
    <row r="133" ht="14.25" customHeight="1">
      <c r="H133" s="11"/>
      <c r="I133" s="4"/>
    </row>
    <row r="134" ht="14.25" customHeight="1">
      <c r="H134" s="11"/>
      <c r="I134" s="4"/>
    </row>
    <row r="135" ht="14.25" customHeight="1">
      <c r="H135" s="11"/>
      <c r="I135" s="4"/>
    </row>
    <row r="136" ht="14.25" customHeight="1">
      <c r="H136" s="11"/>
      <c r="I136" s="4"/>
    </row>
    <row r="137" ht="14.25" customHeight="1">
      <c r="H137" s="11"/>
      <c r="I137" s="4"/>
    </row>
    <row r="138" ht="14.25" customHeight="1">
      <c r="H138" s="11"/>
      <c r="I138" s="4"/>
    </row>
    <row r="139" ht="14.25" customHeight="1">
      <c r="H139" s="11"/>
      <c r="I139" s="4"/>
    </row>
    <row r="140" ht="14.25" customHeight="1">
      <c r="H140" s="11"/>
      <c r="I140" s="4"/>
    </row>
    <row r="141" ht="14.25" customHeight="1">
      <c r="H141" s="11"/>
      <c r="I141" s="4"/>
    </row>
    <row r="142" ht="14.25" customHeight="1">
      <c r="H142" s="11"/>
      <c r="I142" s="4"/>
    </row>
    <row r="143" ht="14.25" customHeight="1">
      <c r="H143" s="11"/>
      <c r="I143" s="4"/>
    </row>
    <row r="144" ht="14.25" customHeight="1">
      <c r="H144" s="11"/>
      <c r="I144" s="4"/>
    </row>
    <row r="145" ht="14.25" customHeight="1">
      <c r="H145" s="11"/>
      <c r="I145" s="4"/>
    </row>
    <row r="146" ht="14.25" customHeight="1">
      <c r="H146" s="11"/>
      <c r="I146" s="4"/>
    </row>
    <row r="147" ht="14.25" customHeight="1">
      <c r="H147" s="11"/>
      <c r="I147" s="4"/>
    </row>
    <row r="148" ht="14.25" customHeight="1">
      <c r="H148" s="11"/>
      <c r="I148" s="4"/>
    </row>
    <row r="149" ht="14.25" customHeight="1">
      <c r="H149" s="11"/>
      <c r="I149" s="4"/>
    </row>
    <row r="150" ht="14.25" customHeight="1">
      <c r="H150" s="11"/>
      <c r="I150" s="4"/>
    </row>
    <row r="151" ht="14.25" customHeight="1">
      <c r="H151" s="11"/>
      <c r="I151" s="4"/>
    </row>
    <row r="152" ht="14.25" customHeight="1">
      <c r="H152" s="11"/>
      <c r="I152" s="4"/>
    </row>
    <row r="153" ht="14.25" customHeight="1">
      <c r="H153" s="11"/>
      <c r="I153" s="4"/>
    </row>
    <row r="154" ht="14.25" customHeight="1">
      <c r="H154" s="11"/>
      <c r="I154" s="4"/>
    </row>
    <row r="155" ht="14.25" customHeight="1">
      <c r="H155" s="11"/>
      <c r="I155" s="4"/>
    </row>
    <row r="156" ht="14.25" customHeight="1">
      <c r="H156" s="11"/>
      <c r="I156" s="4"/>
    </row>
    <row r="157" ht="14.25" customHeight="1">
      <c r="H157" s="11"/>
      <c r="I157" s="4"/>
    </row>
    <row r="158" ht="14.25" customHeight="1">
      <c r="H158" s="11"/>
      <c r="I158" s="4"/>
    </row>
    <row r="159" ht="14.25" customHeight="1">
      <c r="H159" s="11"/>
      <c r="I159" s="4"/>
    </row>
    <row r="160" ht="14.25" customHeight="1">
      <c r="H160" s="11"/>
      <c r="I160" s="4"/>
    </row>
    <row r="161" ht="14.25" customHeight="1">
      <c r="H161" s="11"/>
      <c r="I161" s="4"/>
    </row>
    <row r="162" ht="14.25" customHeight="1">
      <c r="H162" s="11"/>
      <c r="I162" s="4"/>
    </row>
    <row r="163" ht="14.25" customHeight="1">
      <c r="H163" s="11"/>
      <c r="I163" s="4"/>
    </row>
    <row r="164" ht="14.25" customHeight="1">
      <c r="H164" s="11"/>
      <c r="I164" s="4"/>
    </row>
    <row r="165" ht="14.25" customHeight="1">
      <c r="H165" s="11"/>
      <c r="I165" s="4"/>
    </row>
    <row r="166" ht="14.25" customHeight="1">
      <c r="H166" s="11"/>
      <c r="I166" s="4"/>
    </row>
    <row r="167" ht="14.25" customHeight="1">
      <c r="H167" s="11"/>
      <c r="I167" s="4"/>
    </row>
    <row r="168" ht="14.25" customHeight="1">
      <c r="H168" s="11"/>
      <c r="I168" s="4"/>
    </row>
    <row r="169" ht="14.25" customHeight="1">
      <c r="H169" s="11"/>
      <c r="I169" s="4"/>
    </row>
    <row r="170" ht="14.25" customHeight="1">
      <c r="H170" s="11"/>
      <c r="I170" s="4"/>
    </row>
    <row r="171" ht="14.25" customHeight="1">
      <c r="H171" s="11"/>
      <c r="I171" s="4"/>
    </row>
    <row r="172" ht="14.25" customHeight="1">
      <c r="H172" s="11"/>
      <c r="I172" s="4"/>
    </row>
    <row r="173" ht="14.25" customHeight="1">
      <c r="H173" s="11"/>
      <c r="I173" s="4"/>
    </row>
    <row r="174" ht="14.25" customHeight="1">
      <c r="H174" s="11"/>
      <c r="I174" s="4"/>
    </row>
    <row r="175" ht="14.25" customHeight="1">
      <c r="H175" s="11"/>
      <c r="I175" s="4"/>
    </row>
    <row r="176" ht="14.25" customHeight="1">
      <c r="H176" s="11"/>
      <c r="I176" s="4"/>
    </row>
    <row r="177" ht="14.25" customHeight="1">
      <c r="H177" s="11"/>
      <c r="I177" s="4"/>
    </row>
    <row r="178" ht="14.25" customHeight="1">
      <c r="H178" s="11"/>
      <c r="I178" s="4"/>
    </row>
    <row r="179" ht="14.25" customHeight="1">
      <c r="H179" s="11"/>
      <c r="I179" s="4"/>
    </row>
    <row r="180" ht="14.25" customHeight="1">
      <c r="H180" s="11"/>
      <c r="I180" s="4"/>
    </row>
    <row r="181" ht="14.25" customHeight="1">
      <c r="H181" s="11"/>
      <c r="I181" s="4"/>
    </row>
    <row r="182" ht="14.25" customHeight="1">
      <c r="H182" s="11"/>
      <c r="I182" s="4"/>
    </row>
    <row r="183" ht="14.25" customHeight="1">
      <c r="H183" s="11"/>
      <c r="I183" s="4"/>
    </row>
    <row r="184" ht="14.25" customHeight="1">
      <c r="H184" s="11"/>
      <c r="I184" s="4"/>
    </row>
    <row r="185" ht="14.25" customHeight="1">
      <c r="H185" s="11"/>
      <c r="I185" s="4"/>
    </row>
    <row r="186" ht="14.25" customHeight="1">
      <c r="H186" s="11"/>
      <c r="I186" s="4"/>
    </row>
    <row r="187" ht="14.25" customHeight="1">
      <c r="H187" s="11"/>
      <c r="I187" s="4"/>
    </row>
    <row r="188" ht="14.25" customHeight="1">
      <c r="H188" s="11"/>
      <c r="I188" s="4"/>
    </row>
    <row r="189" ht="14.25" customHeight="1">
      <c r="H189" s="11"/>
      <c r="I189" s="4"/>
    </row>
    <row r="190" ht="14.25" customHeight="1">
      <c r="H190" s="11"/>
      <c r="I190" s="4"/>
    </row>
    <row r="191" ht="14.25" customHeight="1">
      <c r="H191" s="11"/>
      <c r="I191" s="4"/>
    </row>
    <row r="192" ht="14.25" customHeight="1">
      <c r="H192" s="11"/>
      <c r="I192" s="4"/>
    </row>
    <row r="193" ht="14.25" customHeight="1">
      <c r="H193" s="11"/>
      <c r="I193" s="4"/>
    </row>
    <row r="194" ht="14.25" customHeight="1">
      <c r="H194" s="11"/>
      <c r="I194" s="4"/>
    </row>
    <row r="195" ht="14.25" customHeight="1">
      <c r="H195" s="11"/>
      <c r="I195" s="4"/>
    </row>
    <row r="196" ht="14.25" customHeight="1">
      <c r="H196" s="11"/>
      <c r="I196" s="4"/>
    </row>
    <row r="197" ht="14.25" customHeight="1">
      <c r="H197" s="11"/>
      <c r="I197" s="4"/>
    </row>
    <row r="198" ht="14.25" customHeight="1">
      <c r="H198" s="11"/>
      <c r="I198" s="4"/>
    </row>
    <row r="199" ht="14.25" customHeight="1">
      <c r="H199" s="11"/>
      <c r="I199" s="4"/>
    </row>
    <row r="200" ht="14.25" customHeight="1">
      <c r="H200" s="11"/>
      <c r="I200" s="4"/>
    </row>
    <row r="201" ht="14.25" customHeight="1">
      <c r="H201" s="11"/>
      <c r="I201" s="4"/>
    </row>
    <row r="202" ht="14.25" customHeight="1">
      <c r="H202" s="11"/>
      <c r="I202" s="4"/>
    </row>
    <row r="203" ht="14.25" customHeight="1">
      <c r="H203" s="11"/>
      <c r="I203" s="4"/>
    </row>
    <row r="204" ht="14.25" customHeight="1">
      <c r="H204" s="11"/>
      <c r="I204" s="4"/>
    </row>
    <row r="205" ht="14.25" customHeight="1">
      <c r="H205" s="11"/>
      <c r="I205" s="4"/>
    </row>
    <row r="206" ht="14.25" customHeight="1">
      <c r="H206" s="11"/>
      <c r="I206" s="4"/>
    </row>
    <row r="207" ht="14.25" customHeight="1">
      <c r="H207" s="11"/>
      <c r="I207" s="4"/>
    </row>
    <row r="208" ht="14.25" customHeight="1">
      <c r="H208" s="11"/>
      <c r="I208" s="4"/>
    </row>
    <row r="209" ht="14.25" customHeight="1">
      <c r="H209" s="11"/>
      <c r="I209" s="4"/>
    </row>
    <row r="210" ht="14.25" customHeight="1">
      <c r="H210" s="11"/>
      <c r="I210" s="4"/>
    </row>
    <row r="211" ht="14.25" customHeight="1">
      <c r="H211" s="11"/>
      <c r="I211" s="4"/>
    </row>
    <row r="212" ht="14.25" customHeight="1">
      <c r="H212" s="11"/>
      <c r="I212" s="4"/>
    </row>
    <row r="213" ht="14.25" customHeight="1">
      <c r="H213" s="11"/>
      <c r="I213" s="4"/>
    </row>
    <row r="214" ht="14.25" customHeight="1">
      <c r="H214" s="11"/>
      <c r="I214" s="4"/>
    </row>
    <row r="215" ht="14.25" customHeight="1">
      <c r="H215" s="11"/>
      <c r="I215" s="4"/>
    </row>
    <row r="216" ht="14.25" customHeight="1">
      <c r="H216" s="11"/>
      <c r="I216" s="4"/>
    </row>
    <row r="217" ht="14.25" customHeight="1">
      <c r="H217" s="11"/>
      <c r="I217" s="4"/>
    </row>
    <row r="218" ht="14.25" customHeight="1">
      <c r="H218" s="11"/>
      <c r="I218" s="4"/>
    </row>
    <row r="219" ht="14.25" customHeight="1">
      <c r="H219" s="11"/>
      <c r="I219" s="4"/>
    </row>
    <row r="220" ht="14.25" customHeight="1">
      <c r="H220" s="11"/>
      <c r="I220" s="4"/>
    </row>
    <row r="221" ht="14.25" customHeight="1">
      <c r="H221" s="11"/>
      <c r="I221" s="4"/>
    </row>
    <row r="222" ht="14.25" customHeight="1">
      <c r="H222" s="11"/>
      <c r="I222" s="4"/>
    </row>
    <row r="223" ht="14.25" customHeight="1">
      <c r="H223" s="11"/>
      <c r="I223" s="4"/>
    </row>
    <row r="224" ht="14.25" customHeight="1">
      <c r="H224" s="11"/>
      <c r="I224" s="4"/>
    </row>
    <row r="225" ht="14.25" customHeight="1">
      <c r="H225" s="11"/>
      <c r="I225" s="4"/>
    </row>
    <row r="226" ht="14.25" customHeight="1">
      <c r="H226" s="11"/>
      <c r="I226" s="4"/>
    </row>
    <row r="227" ht="14.25" customHeight="1">
      <c r="H227" s="11"/>
      <c r="I227" s="4"/>
    </row>
    <row r="228" ht="14.25" customHeight="1">
      <c r="H228" s="11"/>
      <c r="I228" s="4"/>
    </row>
    <row r="229" ht="14.25" customHeight="1">
      <c r="H229" s="11"/>
      <c r="I229" s="4"/>
    </row>
    <row r="230" ht="14.25" customHeight="1">
      <c r="H230" s="11"/>
      <c r="I230" s="4"/>
    </row>
    <row r="231" ht="14.25" customHeight="1">
      <c r="H231" s="11"/>
      <c r="I231" s="4"/>
    </row>
    <row r="232" ht="14.25" customHeight="1">
      <c r="H232" s="11"/>
      <c r="I232" s="4"/>
    </row>
    <row r="233" ht="14.25" customHeight="1">
      <c r="H233" s="11"/>
      <c r="I233" s="4"/>
    </row>
    <row r="234" ht="14.25" customHeight="1">
      <c r="H234" s="11"/>
      <c r="I234" s="4"/>
    </row>
    <row r="235" ht="14.25" customHeight="1">
      <c r="H235" s="11"/>
      <c r="I235" s="4"/>
    </row>
    <row r="236" ht="14.25" customHeight="1">
      <c r="H236" s="11"/>
      <c r="I236" s="4"/>
    </row>
    <row r="237" ht="14.25" customHeight="1">
      <c r="H237" s="11"/>
      <c r="I237" s="4"/>
    </row>
    <row r="238" ht="14.25" customHeight="1">
      <c r="H238" s="11"/>
      <c r="I238" s="4"/>
    </row>
    <row r="239" ht="14.25" customHeight="1">
      <c r="H239" s="11"/>
      <c r="I239" s="4"/>
    </row>
    <row r="240" ht="14.25" customHeight="1">
      <c r="H240" s="11"/>
      <c r="I240" s="4"/>
    </row>
    <row r="241" ht="14.25" customHeight="1">
      <c r="H241" s="11"/>
      <c r="I241" s="4"/>
    </row>
    <row r="242" ht="14.25" customHeight="1">
      <c r="H242" s="11"/>
      <c r="I242" s="4"/>
    </row>
    <row r="243" ht="14.25" customHeight="1">
      <c r="H243" s="11"/>
      <c r="I243" s="4"/>
    </row>
    <row r="244" ht="14.25" customHeight="1">
      <c r="H244" s="11"/>
      <c r="I244" s="4"/>
    </row>
    <row r="245" ht="14.25" customHeight="1">
      <c r="H245" s="11"/>
      <c r="I245" s="4"/>
    </row>
    <row r="246" ht="14.25" customHeight="1">
      <c r="H246" s="11"/>
      <c r="I246" s="4"/>
    </row>
    <row r="247" ht="14.25" customHeight="1">
      <c r="H247" s="11"/>
      <c r="I247" s="4"/>
    </row>
    <row r="248" ht="14.25" customHeight="1">
      <c r="H248" s="11"/>
      <c r="I248" s="4"/>
    </row>
    <row r="249" ht="14.25" customHeight="1">
      <c r="H249" s="11"/>
      <c r="I249" s="4"/>
    </row>
    <row r="250" ht="14.25" customHeight="1">
      <c r="H250" s="11"/>
      <c r="I250" s="4"/>
    </row>
    <row r="251" ht="14.25" customHeight="1">
      <c r="H251" s="11"/>
      <c r="I251" s="4"/>
    </row>
    <row r="252" ht="14.25" customHeight="1">
      <c r="H252" s="11"/>
      <c r="I252" s="4"/>
    </row>
    <row r="253" ht="14.25" customHeight="1">
      <c r="H253" s="11"/>
      <c r="I253" s="4"/>
    </row>
    <row r="254" ht="14.25" customHeight="1">
      <c r="H254" s="11"/>
      <c r="I254" s="4"/>
    </row>
    <row r="255" ht="14.25" customHeight="1">
      <c r="H255" s="11"/>
      <c r="I255" s="4"/>
    </row>
    <row r="256" ht="14.25" customHeight="1">
      <c r="H256" s="11"/>
      <c r="I256" s="4"/>
    </row>
    <row r="257" ht="14.25" customHeight="1">
      <c r="H257" s="11"/>
      <c r="I257" s="4"/>
    </row>
    <row r="258" ht="14.25" customHeight="1">
      <c r="H258" s="11"/>
      <c r="I258" s="4"/>
    </row>
    <row r="259" ht="14.25" customHeight="1">
      <c r="H259" s="11"/>
      <c r="I259" s="4"/>
    </row>
    <row r="260" ht="14.25" customHeight="1">
      <c r="H260" s="11"/>
      <c r="I260" s="4"/>
    </row>
    <row r="261" ht="14.25" customHeight="1">
      <c r="H261" s="11"/>
      <c r="I261" s="4"/>
    </row>
    <row r="262" ht="14.25" customHeight="1">
      <c r="H262" s="11"/>
      <c r="I262" s="4"/>
    </row>
    <row r="263" ht="14.25" customHeight="1">
      <c r="H263" s="11"/>
      <c r="I263" s="4"/>
    </row>
    <row r="264" ht="14.25" customHeight="1">
      <c r="H264" s="11"/>
      <c r="I264" s="4"/>
    </row>
    <row r="265" ht="14.25" customHeight="1">
      <c r="H265" s="11"/>
      <c r="I265" s="4"/>
    </row>
    <row r="266" ht="14.25" customHeight="1">
      <c r="H266" s="11"/>
      <c r="I266" s="4"/>
    </row>
    <row r="267" ht="14.25" customHeight="1">
      <c r="H267" s="11"/>
      <c r="I267" s="4"/>
    </row>
    <row r="268" ht="14.25" customHeight="1">
      <c r="H268" s="11"/>
      <c r="I268" s="4"/>
    </row>
    <row r="269" ht="14.25" customHeight="1">
      <c r="H269" s="11"/>
      <c r="I269" s="4"/>
    </row>
    <row r="270" ht="14.25" customHeight="1">
      <c r="H270" s="11"/>
      <c r="I270" s="4"/>
    </row>
    <row r="271" ht="14.25" customHeight="1">
      <c r="H271" s="11"/>
      <c r="I271" s="4"/>
    </row>
    <row r="272" ht="14.25" customHeight="1">
      <c r="H272" s="11"/>
      <c r="I272" s="4"/>
    </row>
    <row r="273" ht="14.25" customHeight="1">
      <c r="H273" s="11"/>
      <c r="I273" s="4"/>
    </row>
    <row r="274" ht="14.25" customHeight="1">
      <c r="H274" s="11"/>
      <c r="I274" s="4"/>
    </row>
    <row r="275" ht="14.25" customHeight="1">
      <c r="H275" s="11"/>
      <c r="I275" s="4"/>
    </row>
    <row r="276" ht="14.25" customHeight="1">
      <c r="H276" s="11"/>
      <c r="I276" s="4"/>
    </row>
    <row r="277" ht="14.25" customHeight="1">
      <c r="H277" s="11"/>
      <c r="I277" s="4"/>
    </row>
    <row r="278" ht="14.25" customHeight="1">
      <c r="H278" s="11"/>
      <c r="I278" s="4"/>
    </row>
    <row r="279" ht="14.25" customHeight="1">
      <c r="H279" s="11"/>
      <c r="I279" s="4"/>
    </row>
    <row r="280" ht="14.25" customHeight="1">
      <c r="H280" s="11"/>
      <c r="I280" s="4"/>
    </row>
    <row r="281" ht="14.25" customHeight="1">
      <c r="H281" s="11"/>
      <c r="I281" s="4"/>
    </row>
    <row r="282" ht="14.25" customHeight="1">
      <c r="H282" s="11"/>
      <c r="I282" s="4"/>
    </row>
    <row r="283" ht="14.25" customHeight="1">
      <c r="H283" s="11"/>
      <c r="I283" s="4"/>
    </row>
    <row r="284" ht="14.25" customHeight="1">
      <c r="H284" s="11"/>
      <c r="I284" s="4"/>
    </row>
    <row r="285" ht="14.25" customHeight="1">
      <c r="H285" s="11"/>
      <c r="I285" s="4"/>
    </row>
    <row r="286" ht="14.25" customHeight="1">
      <c r="H286" s="11"/>
      <c r="I286" s="4"/>
    </row>
    <row r="287" ht="14.25" customHeight="1">
      <c r="H287" s="11"/>
      <c r="I287" s="4"/>
    </row>
    <row r="288" ht="14.25" customHeight="1">
      <c r="H288" s="11"/>
      <c r="I288" s="4"/>
    </row>
    <row r="289" ht="14.25" customHeight="1">
      <c r="H289" s="11"/>
      <c r="I289" s="4"/>
    </row>
    <row r="290" ht="14.25" customHeight="1">
      <c r="H290" s="11"/>
      <c r="I290" s="4"/>
    </row>
    <row r="291" ht="14.25" customHeight="1">
      <c r="H291" s="11"/>
      <c r="I291" s="4"/>
    </row>
    <row r="292" ht="14.25" customHeight="1">
      <c r="H292" s="11"/>
      <c r="I292" s="4"/>
    </row>
    <row r="293" ht="14.25" customHeight="1">
      <c r="H293" s="11"/>
      <c r="I293" s="4"/>
    </row>
    <row r="294" ht="14.25" customHeight="1">
      <c r="H294" s="11"/>
      <c r="I294" s="4"/>
    </row>
    <row r="295" ht="14.25" customHeight="1">
      <c r="H295" s="11"/>
      <c r="I295" s="4"/>
    </row>
    <row r="296" ht="14.25" customHeight="1">
      <c r="H296" s="11"/>
      <c r="I296" s="4"/>
    </row>
    <row r="297" ht="14.25" customHeight="1">
      <c r="H297" s="11"/>
      <c r="I297" s="4"/>
    </row>
    <row r="298" ht="14.25" customHeight="1">
      <c r="H298" s="11"/>
      <c r="I298" s="4"/>
    </row>
    <row r="299" ht="14.25" customHeight="1">
      <c r="H299" s="11"/>
      <c r="I299" s="4"/>
    </row>
    <row r="300" ht="14.25" customHeight="1">
      <c r="H300" s="11"/>
      <c r="I300" s="4"/>
    </row>
    <row r="301" ht="14.25" customHeight="1">
      <c r="H301" s="11"/>
      <c r="I301" s="4"/>
    </row>
    <row r="302" ht="14.25" customHeight="1">
      <c r="H302" s="11"/>
      <c r="I302" s="4"/>
    </row>
    <row r="303" ht="14.25" customHeight="1">
      <c r="H303" s="11"/>
      <c r="I303" s="4"/>
    </row>
    <row r="304" ht="14.25" customHeight="1">
      <c r="H304" s="11"/>
      <c r="I304" s="4"/>
    </row>
    <row r="305" ht="14.25" customHeight="1">
      <c r="H305" s="11"/>
      <c r="I305" s="4"/>
    </row>
    <row r="306" ht="14.25" customHeight="1">
      <c r="H306" s="11"/>
      <c r="I306" s="4"/>
    </row>
    <row r="307" ht="14.25" customHeight="1">
      <c r="H307" s="11"/>
      <c r="I307" s="4"/>
    </row>
    <row r="308" ht="14.25" customHeight="1">
      <c r="H308" s="11"/>
      <c r="I308" s="4"/>
    </row>
    <row r="309" ht="14.25" customHeight="1">
      <c r="H309" s="11"/>
      <c r="I309" s="4"/>
    </row>
    <row r="310" ht="14.25" customHeight="1">
      <c r="H310" s="11"/>
      <c r="I310" s="4"/>
    </row>
    <row r="311" ht="14.25" customHeight="1">
      <c r="H311" s="11"/>
      <c r="I311" s="4"/>
    </row>
    <row r="312" ht="14.25" customHeight="1">
      <c r="H312" s="11"/>
      <c r="I312" s="4"/>
    </row>
    <row r="313" ht="14.25" customHeight="1">
      <c r="H313" s="11"/>
      <c r="I313" s="4"/>
    </row>
    <row r="314" ht="14.25" customHeight="1">
      <c r="H314" s="11"/>
      <c r="I314" s="4"/>
    </row>
    <row r="315" ht="14.25" customHeight="1">
      <c r="H315" s="11"/>
      <c r="I315" s="4"/>
    </row>
    <row r="316" ht="14.25" customHeight="1">
      <c r="H316" s="11"/>
      <c r="I316" s="4"/>
    </row>
    <row r="317" ht="14.25" customHeight="1">
      <c r="H317" s="11"/>
      <c r="I317" s="4"/>
    </row>
    <row r="318" ht="14.25" customHeight="1">
      <c r="H318" s="11"/>
      <c r="I318" s="4"/>
    </row>
    <row r="319" ht="14.25" customHeight="1">
      <c r="H319" s="11"/>
      <c r="I319" s="4"/>
    </row>
    <row r="320" ht="14.25" customHeight="1">
      <c r="H320" s="11"/>
      <c r="I320" s="4"/>
    </row>
    <row r="321" ht="14.25" customHeight="1">
      <c r="H321" s="11"/>
      <c r="I321" s="4"/>
    </row>
    <row r="322" ht="14.25" customHeight="1">
      <c r="H322" s="11"/>
      <c r="I322" s="4"/>
    </row>
    <row r="323" ht="14.25" customHeight="1">
      <c r="H323" s="11"/>
      <c r="I323" s="4"/>
    </row>
    <row r="324" ht="14.25" customHeight="1">
      <c r="H324" s="11"/>
      <c r="I324" s="4"/>
    </row>
    <row r="325" ht="14.25" customHeight="1">
      <c r="H325" s="11"/>
      <c r="I325" s="4"/>
    </row>
    <row r="326" ht="14.25" customHeight="1">
      <c r="H326" s="11"/>
      <c r="I326" s="4"/>
    </row>
    <row r="327" ht="14.25" customHeight="1">
      <c r="H327" s="11"/>
      <c r="I327" s="4"/>
    </row>
    <row r="328" ht="14.25" customHeight="1">
      <c r="H328" s="11"/>
      <c r="I328" s="4"/>
    </row>
    <row r="329" ht="14.25" customHeight="1">
      <c r="H329" s="11"/>
      <c r="I329" s="4"/>
    </row>
    <row r="330" ht="14.25" customHeight="1">
      <c r="H330" s="11"/>
      <c r="I330" s="4"/>
    </row>
    <row r="331" ht="14.25" customHeight="1">
      <c r="H331" s="11"/>
      <c r="I331" s="4"/>
    </row>
    <row r="332" ht="14.25" customHeight="1">
      <c r="H332" s="11"/>
      <c r="I332" s="4"/>
    </row>
    <row r="333" ht="14.25" customHeight="1">
      <c r="H333" s="11"/>
      <c r="I333" s="4"/>
    </row>
    <row r="334" ht="14.25" customHeight="1">
      <c r="H334" s="11"/>
      <c r="I334" s="4"/>
    </row>
    <row r="335" ht="14.25" customHeight="1">
      <c r="H335" s="11"/>
      <c r="I335" s="4"/>
    </row>
    <row r="336" ht="14.25" customHeight="1">
      <c r="H336" s="11"/>
      <c r="I336" s="4"/>
    </row>
    <row r="337" ht="14.25" customHeight="1">
      <c r="H337" s="11"/>
      <c r="I337" s="4"/>
    </row>
    <row r="338" ht="14.25" customHeight="1">
      <c r="H338" s="11"/>
      <c r="I338" s="4"/>
    </row>
    <row r="339" ht="14.25" customHeight="1">
      <c r="H339" s="11"/>
      <c r="I339" s="4"/>
    </row>
    <row r="340" ht="14.25" customHeight="1">
      <c r="H340" s="11"/>
      <c r="I340" s="4"/>
    </row>
    <row r="341" ht="14.25" customHeight="1">
      <c r="H341" s="11"/>
      <c r="I341" s="4"/>
    </row>
    <row r="342" ht="14.25" customHeight="1">
      <c r="H342" s="11"/>
      <c r="I342" s="4"/>
    </row>
    <row r="343" ht="14.25" customHeight="1">
      <c r="H343" s="11"/>
      <c r="I343" s="4"/>
    </row>
    <row r="344" ht="14.25" customHeight="1">
      <c r="H344" s="11"/>
      <c r="I344" s="4"/>
    </row>
    <row r="345" ht="14.25" customHeight="1">
      <c r="H345" s="11"/>
      <c r="I345" s="4"/>
    </row>
    <row r="346" ht="14.25" customHeight="1">
      <c r="H346" s="11"/>
      <c r="I346" s="4"/>
    </row>
    <row r="347" ht="14.25" customHeight="1">
      <c r="H347" s="11"/>
      <c r="I347" s="4"/>
    </row>
    <row r="348" ht="14.25" customHeight="1">
      <c r="H348" s="11"/>
      <c r="I348" s="4"/>
    </row>
    <row r="349" ht="14.25" customHeight="1">
      <c r="H349" s="11"/>
      <c r="I349" s="4"/>
    </row>
    <row r="350" ht="14.25" customHeight="1">
      <c r="H350" s="11"/>
      <c r="I350" s="4"/>
    </row>
    <row r="351" ht="14.25" customHeight="1">
      <c r="H351" s="11"/>
      <c r="I351" s="4"/>
    </row>
    <row r="352" ht="14.25" customHeight="1">
      <c r="H352" s="11"/>
      <c r="I352" s="4"/>
    </row>
    <row r="353" ht="14.25" customHeight="1">
      <c r="H353" s="11"/>
      <c r="I353" s="4"/>
    </row>
    <row r="354" ht="14.25" customHeight="1">
      <c r="H354" s="11"/>
      <c r="I354" s="4"/>
    </row>
    <row r="355" ht="14.25" customHeight="1">
      <c r="H355" s="11"/>
      <c r="I355" s="4"/>
    </row>
    <row r="356" ht="14.25" customHeight="1">
      <c r="H356" s="11"/>
      <c r="I356" s="4"/>
    </row>
    <row r="357" ht="14.25" customHeight="1">
      <c r="H357" s="11"/>
      <c r="I357" s="4"/>
    </row>
    <row r="358" ht="14.25" customHeight="1">
      <c r="H358" s="11"/>
      <c r="I358" s="4"/>
    </row>
    <row r="359" ht="14.25" customHeight="1">
      <c r="H359" s="11"/>
      <c r="I359" s="4"/>
    </row>
    <row r="360" ht="14.25" customHeight="1">
      <c r="H360" s="11"/>
      <c r="I360" s="4"/>
    </row>
    <row r="361" ht="14.25" customHeight="1">
      <c r="H361" s="11"/>
      <c r="I361" s="4"/>
    </row>
    <row r="362" ht="14.25" customHeight="1">
      <c r="H362" s="11"/>
      <c r="I362" s="4"/>
    </row>
    <row r="363" ht="14.25" customHeight="1">
      <c r="H363" s="11"/>
      <c r="I363" s="4"/>
    </row>
    <row r="364" ht="14.25" customHeight="1">
      <c r="H364" s="11"/>
      <c r="I364" s="4"/>
    </row>
    <row r="365" ht="14.25" customHeight="1">
      <c r="H365" s="11"/>
      <c r="I365" s="4"/>
    </row>
    <row r="366" ht="14.25" customHeight="1">
      <c r="H366" s="11"/>
      <c r="I366" s="4"/>
    </row>
    <row r="367" ht="14.25" customHeight="1">
      <c r="H367" s="11"/>
      <c r="I367" s="4"/>
    </row>
    <row r="368" ht="14.25" customHeight="1">
      <c r="H368" s="11"/>
      <c r="I368" s="4"/>
    </row>
    <row r="369" ht="14.25" customHeight="1">
      <c r="H369" s="11"/>
      <c r="I369" s="4"/>
    </row>
    <row r="370" ht="14.25" customHeight="1">
      <c r="H370" s="11"/>
      <c r="I370" s="4"/>
    </row>
    <row r="371" ht="14.25" customHeight="1">
      <c r="H371" s="11"/>
      <c r="I371" s="4"/>
    </row>
    <row r="372" ht="14.25" customHeight="1">
      <c r="H372" s="11"/>
      <c r="I372" s="4"/>
    </row>
    <row r="373" ht="14.25" customHeight="1">
      <c r="H373" s="11"/>
      <c r="I373" s="4"/>
    </row>
    <row r="374" ht="14.25" customHeight="1">
      <c r="H374" s="11"/>
      <c r="I374" s="4"/>
    </row>
    <row r="375" ht="14.25" customHeight="1">
      <c r="H375" s="11"/>
      <c r="I375" s="4"/>
    </row>
    <row r="376" ht="14.25" customHeight="1">
      <c r="H376" s="11"/>
      <c r="I376" s="4"/>
    </row>
    <row r="377" ht="14.25" customHeight="1">
      <c r="H377" s="11"/>
      <c r="I377" s="4"/>
    </row>
    <row r="378" ht="14.25" customHeight="1">
      <c r="H378" s="11"/>
      <c r="I378" s="4"/>
    </row>
    <row r="379" ht="14.25" customHeight="1">
      <c r="H379" s="11"/>
      <c r="I379" s="4"/>
    </row>
    <row r="380" ht="14.25" customHeight="1">
      <c r="H380" s="11"/>
      <c r="I380" s="4"/>
    </row>
    <row r="381" ht="14.25" customHeight="1">
      <c r="H381" s="11"/>
      <c r="I381" s="4"/>
    </row>
    <row r="382" ht="14.25" customHeight="1">
      <c r="H382" s="11"/>
      <c r="I382" s="4"/>
    </row>
    <row r="383" ht="14.25" customHeight="1">
      <c r="H383" s="11"/>
      <c r="I383" s="4"/>
    </row>
    <row r="384" ht="14.25" customHeight="1">
      <c r="H384" s="11"/>
      <c r="I384" s="4"/>
    </row>
    <row r="385" ht="14.25" customHeight="1">
      <c r="H385" s="11"/>
      <c r="I385" s="4"/>
    </row>
    <row r="386" ht="14.25" customHeight="1">
      <c r="H386" s="11"/>
      <c r="I386" s="4"/>
    </row>
    <row r="387" ht="14.25" customHeight="1">
      <c r="H387" s="11"/>
      <c r="I387" s="4"/>
    </row>
    <row r="388" ht="14.25" customHeight="1">
      <c r="H388" s="11"/>
      <c r="I388" s="4"/>
    </row>
    <row r="389" ht="14.25" customHeight="1">
      <c r="H389" s="11"/>
      <c r="I389" s="4"/>
    </row>
    <row r="390" ht="14.25" customHeight="1">
      <c r="H390" s="11"/>
      <c r="I390" s="4"/>
    </row>
    <row r="391" ht="14.25" customHeight="1">
      <c r="H391" s="11"/>
      <c r="I391" s="4"/>
    </row>
    <row r="392" ht="14.25" customHeight="1">
      <c r="H392" s="11"/>
      <c r="I392" s="4"/>
    </row>
    <row r="393" ht="14.25" customHeight="1">
      <c r="H393" s="11"/>
      <c r="I393" s="4"/>
    </row>
    <row r="394" ht="14.25" customHeight="1">
      <c r="H394" s="11"/>
      <c r="I394" s="4"/>
    </row>
    <row r="395" ht="14.25" customHeight="1">
      <c r="H395" s="11"/>
      <c r="I395" s="4"/>
    </row>
    <row r="396" ht="14.25" customHeight="1">
      <c r="H396" s="11"/>
      <c r="I396" s="4"/>
    </row>
    <row r="397" ht="14.25" customHeight="1">
      <c r="H397" s="11"/>
      <c r="I397" s="4"/>
    </row>
    <row r="398" ht="14.25" customHeight="1">
      <c r="H398" s="11"/>
      <c r="I398" s="4"/>
    </row>
    <row r="399" ht="14.25" customHeight="1">
      <c r="H399" s="11"/>
      <c r="I399" s="4"/>
    </row>
    <row r="400" ht="14.25" customHeight="1">
      <c r="H400" s="11"/>
      <c r="I400" s="4"/>
    </row>
    <row r="401" ht="14.25" customHeight="1">
      <c r="H401" s="11"/>
      <c r="I401" s="4"/>
    </row>
    <row r="402" ht="14.25" customHeight="1">
      <c r="H402" s="11"/>
      <c r="I402" s="4"/>
    </row>
    <row r="403" ht="14.25" customHeight="1">
      <c r="H403" s="11"/>
      <c r="I403" s="4"/>
    </row>
    <row r="404" ht="14.25" customHeight="1">
      <c r="H404" s="11"/>
      <c r="I404" s="4"/>
    </row>
    <row r="405" ht="14.25" customHeight="1">
      <c r="H405" s="11"/>
      <c r="I405" s="4"/>
    </row>
    <row r="406" ht="14.25" customHeight="1">
      <c r="H406" s="11"/>
      <c r="I406" s="4"/>
    </row>
    <row r="407" ht="14.25" customHeight="1">
      <c r="H407" s="11"/>
      <c r="I407" s="4"/>
    </row>
    <row r="408" ht="14.25" customHeight="1">
      <c r="H408" s="11"/>
      <c r="I408" s="4"/>
    </row>
    <row r="409" ht="14.25" customHeight="1">
      <c r="H409" s="11"/>
      <c r="I409" s="4"/>
    </row>
    <row r="410" ht="14.25" customHeight="1">
      <c r="H410" s="11"/>
      <c r="I410" s="4"/>
    </row>
    <row r="411" ht="14.25" customHeight="1">
      <c r="H411" s="11"/>
      <c r="I411" s="4"/>
    </row>
    <row r="412" ht="14.25" customHeight="1">
      <c r="H412" s="11"/>
      <c r="I412" s="4"/>
    </row>
    <row r="413" ht="14.25" customHeight="1">
      <c r="H413" s="11"/>
      <c r="I413" s="4"/>
    </row>
    <row r="414" ht="14.25" customHeight="1">
      <c r="H414" s="11"/>
      <c r="I414" s="4"/>
    </row>
    <row r="415" ht="14.25" customHeight="1">
      <c r="H415" s="11"/>
      <c r="I415" s="4"/>
    </row>
    <row r="416" ht="14.25" customHeight="1">
      <c r="H416" s="11"/>
      <c r="I416" s="4"/>
    </row>
    <row r="417" ht="14.25" customHeight="1">
      <c r="H417" s="11"/>
      <c r="I417" s="4"/>
    </row>
    <row r="418" ht="14.25" customHeight="1">
      <c r="H418" s="11"/>
      <c r="I418" s="4"/>
    </row>
    <row r="419" ht="14.25" customHeight="1">
      <c r="H419" s="11"/>
      <c r="I419" s="4"/>
    </row>
    <row r="420" ht="14.25" customHeight="1">
      <c r="H420" s="11"/>
      <c r="I420" s="4"/>
    </row>
    <row r="421" ht="14.25" customHeight="1">
      <c r="H421" s="11"/>
      <c r="I421" s="4"/>
    </row>
    <row r="422" ht="14.25" customHeight="1">
      <c r="H422" s="11"/>
      <c r="I422" s="4"/>
    </row>
    <row r="423" ht="14.25" customHeight="1">
      <c r="H423" s="11"/>
      <c r="I423" s="4"/>
    </row>
    <row r="424" ht="14.25" customHeight="1">
      <c r="H424" s="11"/>
      <c r="I424" s="4"/>
    </row>
    <row r="425" ht="14.25" customHeight="1">
      <c r="H425" s="11"/>
      <c r="I425" s="4"/>
    </row>
    <row r="426" ht="14.25" customHeight="1">
      <c r="H426" s="11"/>
      <c r="I426" s="4"/>
    </row>
    <row r="427" ht="14.25" customHeight="1">
      <c r="H427" s="11"/>
      <c r="I427" s="4"/>
    </row>
    <row r="428" ht="14.25" customHeight="1">
      <c r="H428" s="11"/>
      <c r="I428" s="4"/>
    </row>
    <row r="429" ht="14.25" customHeight="1">
      <c r="H429" s="11"/>
      <c r="I429" s="4"/>
    </row>
    <row r="430" ht="14.25" customHeight="1">
      <c r="H430" s="11"/>
      <c r="I430" s="4"/>
    </row>
    <row r="431" ht="14.25" customHeight="1">
      <c r="H431" s="11"/>
      <c r="I431" s="4"/>
    </row>
    <row r="432" ht="14.25" customHeight="1">
      <c r="H432" s="11"/>
      <c r="I432" s="4"/>
    </row>
    <row r="433" ht="14.25" customHeight="1">
      <c r="H433" s="11"/>
      <c r="I433" s="4"/>
    </row>
    <row r="434" ht="14.25" customHeight="1">
      <c r="H434" s="11"/>
      <c r="I434" s="4"/>
    </row>
    <row r="435" ht="14.25" customHeight="1">
      <c r="H435" s="11"/>
      <c r="I435" s="4"/>
    </row>
    <row r="436" ht="14.25" customHeight="1">
      <c r="H436" s="11"/>
      <c r="I436" s="4"/>
    </row>
    <row r="437" ht="14.25" customHeight="1">
      <c r="H437" s="11"/>
      <c r="I437" s="4"/>
    </row>
    <row r="438" ht="14.25" customHeight="1">
      <c r="H438" s="11"/>
      <c r="I438" s="4"/>
    </row>
    <row r="439" ht="14.25" customHeight="1">
      <c r="H439" s="11"/>
      <c r="I439" s="4"/>
    </row>
    <row r="440" ht="14.25" customHeight="1">
      <c r="H440" s="11"/>
      <c r="I440" s="4"/>
    </row>
    <row r="441" ht="14.25" customHeight="1">
      <c r="H441" s="11"/>
      <c r="I441" s="4"/>
    </row>
    <row r="442" ht="14.25" customHeight="1">
      <c r="H442" s="11"/>
      <c r="I442" s="4"/>
    </row>
    <row r="443" ht="14.25" customHeight="1">
      <c r="H443" s="11"/>
      <c r="I443" s="4"/>
    </row>
    <row r="444" ht="14.25" customHeight="1">
      <c r="H444" s="11"/>
      <c r="I444" s="4"/>
    </row>
    <row r="445" ht="14.25" customHeight="1">
      <c r="H445" s="11"/>
      <c r="I445" s="4"/>
    </row>
    <row r="446" ht="14.25" customHeight="1">
      <c r="H446" s="11"/>
      <c r="I446" s="4"/>
    </row>
    <row r="447" ht="14.25" customHeight="1">
      <c r="H447" s="11"/>
      <c r="I447" s="4"/>
    </row>
    <row r="448" ht="14.25" customHeight="1">
      <c r="H448" s="11"/>
      <c r="I448" s="4"/>
    </row>
    <row r="449" ht="14.25" customHeight="1">
      <c r="H449" s="11"/>
      <c r="I449" s="4"/>
    </row>
    <row r="450" ht="14.25" customHeight="1">
      <c r="H450" s="11"/>
      <c r="I450" s="4"/>
    </row>
    <row r="451" ht="14.25" customHeight="1">
      <c r="H451" s="11"/>
      <c r="I451" s="4"/>
    </row>
    <row r="452" ht="14.25" customHeight="1">
      <c r="H452" s="11"/>
      <c r="I452" s="4"/>
    </row>
    <row r="453" ht="14.25" customHeight="1">
      <c r="H453" s="11"/>
      <c r="I453" s="4"/>
    </row>
    <row r="454" ht="14.25" customHeight="1">
      <c r="H454" s="11"/>
      <c r="I454" s="4"/>
    </row>
    <row r="455" ht="14.25" customHeight="1">
      <c r="H455" s="11"/>
      <c r="I455" s="4"/>
    </row>
    <row r="456" ht="14.25" customHeight="1">
      <c r="H456" s="11"/>
      <c r="I456" s="4"/>
    </row>
    <row r="457" ht="14.25" customHeight="1">
      <c r="H457" s="11"/>
      <c r="I457" s="4"/>
    </row>
    <row r="458" ht="14.25" customHeight="1">
      <c r="H458" s="11"/>
      <c r="I458" s="4"/>
    </row>
    <row r="459" ht="14.25" customHeight="1">
      <c r="H459" s="11"/>
      <c r="I459" s="4"/>
    </row>
    <row r="460" ht="14.25" customHeight="1">
      <c r="H460" s="11"/>
      <c r="I460" s="4"/>
    </row>
    <row r="461" ht="14.25" customHeight="1">
      <c r="H461" s="11"/>
      <c r="I461" s="4"/>
    </row>
    <row r="462" ht="14.25" customHeight="1">
      <c r="H462" s="11"/>
      <c r="I462" s="4"/>
    </row>
    <row r="463" ht="14.25" customHeight="1">
      <c r="H463" s="11"/>
      <c r="I463" s="4"/>
    </row>
    <row r="464" ht="14.25" customHeight="1">
      <c r="H464" s="11"/>
      <c r="I464" s="4"/>
    </row>
    <row r="465" ht="14.25" customHeight="1">
      <c r="H465" s="11"/>
      <c r="I465" s="4"/>
    </row>
    <row r="466" ht="14.25" customHeight="1">
      <c r="H466" s="11"/>
      <c r="I466" s="4"/>
    </row>
    <row r="467" ht="14.25" customHeight="1">
      <c r="H467" s="11"/>
      <c r="I467" s="4"/>
    </row>
    <row r="468" ht="14.25" customHeight="1">
      <c r="H468" s="11"/>
      <c r="I468" s="4"/>
    </row>
    <row r="469" ht="14.25" customHeight="1">
      <c r="H469" s="11"/>
      <c r="I469" s="4"/>
    </row>
    <row r="470" ht="14.25" customHeight="1">
      <c r="H470" s="11"/>
      <c r="I470" s="4"/>
    </row>
    <row r="471" ht="14.25" customHeight="1">
      <c r="H471" s="11"/>
      <c r="I471" s="4"/>
    </row>
    <row r="472" ht="14.25" customHeight="1">
      <c r="H472" s="11"/>
      <c r="I472" s="4"/>
    </row>
    <row r="473" ht="14.25" customHeight="1">
      <c r="H473" s="11"/>
      <c r="I473" s="4"/>
    </row>
    <row r="474" ht="14.25" customHeight="1">
      <c r="H474" s="11"/>
      <c r="I474" s="4"/>
    </row>
    <row r="475" ht="14.25" customHeight="1">
      <c r="H475" s="11"/>
      <c r="I475" s="4"/>
    </row>
    <row r="476" ht="14.25" customHeight="1">
      <c r="H476" s="11"/>
      <c r="I476" s="4"/>
    </row>
    <row r="477" ht="14.25" customHeight="1">
      <c r="H477" s="11"/>
      <c r="I477" s="4"/>
    </row>
    <row r="478" ht="14.25" customHeight="1">
      <c r="H478" s="11"/>
      <c r="I478" s="4"/>
    </row>
    <row r="479" ht="14.25" customHeight="1">
      <c r="H479" s="11"/>
      <c r="I479" s="4"/>
    </row>
    <row r="480" ht="14.25" customHeight="1">
      <c r="H480" s="11"/>
      <c r="I480" s="4"/>
    </row>
    <row r="481" ht="14.25" customHeight="1">
      <c r="H481" s="11"/>
      <c r="I481" s="4"/>
    </row>
    <row r="482" ht="14.25" customHeight="1">
      <c r="H482" s="11"/>
      <c r="I482" s="4"/>
    </row>
    <row r="483" ht="14.25" customHeight="1">
      <c r="H483" s="11"/>
      <c r="I483" s="4"/>
    </row>
    <row r="484" ht="14.25" customHeight="1">
      <c r="H484" s="11"/>
      <c r="I484" s="4"/>
    </row>
    <row r="485" ht="14.25" customHeight="1">
      <c r="H485" s="11"/>
      <c r="I485" s="4"/>
    </row>
    <row r="486" ht="14.25" customHeight="1">
      <c r="H486" s="11"/>
      <c r="I486" s="4"/>
    </row>
    <row r="487" ht="14.25" customHeight="1">
      <c r="H487" s="11"/>
      <c r="I487" s="4"/>
    </row>
    <row r="488" ht="14.25" customHeight="1">
      <c r="H488" s="11"/>
      <c r="I488" s="4"/>
    </row>
    <row r="489" ht="14.25" customHeight="1">
      <c r="H489" s="11"/>
      <c r="I489" s="4"/>
    </row>
    <row r="490" ht="14.25" customHeight="1">
      <c r="H490" s="11"/>
      <c r="I490" s="4"/>
    </row>
    <row r="491" ht="14.25" customHeight="1">
      <c r="H491" s="11"/>
      <c r="I491" s="4"/>
    </row>
    <row r="492" ht="14.25" customHeight="1">
      <c r="H492" s="11"/>
      <c r="I492" s="4"/>
    </row>
    <row r="493" ht="14.25" customHeight="1">
      <c r="H493" s="11"/>
      <c r="I493" s="4"/>
    </row>
    <row r="494" ht="14.25" customHeight="1">
      <c r="H494" s="11"/>
      <c r="I494" s="4"/>
    </row>
    <row r="495" ht="14.25" customHeight="1">
      <c r="H495" s="11"/>
      <c r="I495" s="4"/>
    </row>
    <row r="496" ht="14.25" customHeight="1">
      <c r="H496" s="11"/>
      <c r="I496" s="4"/>
    </row>
    <row r="497" ht="14.25" customHeight="1">
      <c r="H497" s="11"/>
      <c r="I497" s="4"/>
    </row>
    <row r="498" ht="14.25" customHeight="1">
      <c r="H498" s="11"/>
      <c r="I498" s="4"/>
    </row>
    <row r="499" ht="14.25" customHeight="1">
      <c r="H499" s="11"/>
      <c r="I499" s="4"/>
    </row>
    <row r="500" ht="14.25" customHeight="1">
      <c r="H500" s="11"/>
      <c r="I500" s="4"/>
    </row>
    <row r="501" ht="14.25" customHeight="1">
      <c r="H501" s="11"/>
      <c r="I501" s="4"/>
    </row>
    <row r="502" ht="14.25" customHeight="1">
      <c r="H502" s="11"/>
      <c r="I502" s="4"/>
    </row>
    <row r="503" ht="14.25" customHeight="1">
      <c r="H503" s="11"/>
      <c r="I503" s="4"/>
    </row>
    <row r="504" ht="14.25" customHeight="1">
      <c r="H504" s="11"/>
      <c r="I504" s="4"/>
    </row>
    <row r="505" ht="14.25" customHeight="1">
      <c r="H505" s="11"/>
      <c r="I505" s="4"/>
    </row>
    <row r="506" ht="14.25" customHeight="1">
      <c r="H506" s="11"/>
      <c r="I506" s="4"/>
    </row>
    <row r="507" ht="14.25" customHeight="1">
      <c r="H507" s="11"/>
      <c r="I507" s="4"/>
    </row>
    <row r="508" ht="14.25" customHeight="1">
      <c r="H508" s="11"/>
      <c r="I508" s="4"/>
    </row>
    <row r="509" ht="14.25" customHeight="1">
      <c r="H509" s="11"/>
      <c r="I509" s="4"/>
    </row>
    <row r="510" ht="14.25" customHeight="1">
      <c r="H510" s="11"/>
      <c r="I510" s="4"/>
    </row>
    <row r="511" ht="14.25" customHeight="1">
      <c r="H511" s="11"/>
      <c r="I511" s="4"/>
    </row>
    <row r="512" ht="14.25" customHeight="1">
      <c r="H512" s="11"/>
      <c r="I512" s="4"/>
    </row>
    <row r="513" ht="14.25" customHeight="1">
      <c r="H513" s="11"/>
      <c r="I513" s="4"/>
    </row>
    <row r="514" ht="14.25" customHeight="1">
      <c r="H514" s="11"/>
      <c r="I514" s="4"/>
    </row>
    <row r="515" ht="14.25" customHeight="1">
      <c r="H515" s="11"/>
      <c r="I515" s="4"/>
    </row>
    <row r="516" ht="14.25" customHeight="1">
      <c r="H516" s="11"/>
      <c r="I516" s="4"/>
    </row>
    <row r="517" ht="14.25" customHeight="1">
      <c r="H517" s="11"/>
      <c r="I517" s="4"/>
    </row>
    <row r="518" ht="14.25" customHeight="1">
      <c r="H518" s="11"/>
      <c r="I518" s="4"/>
    </row>
    <row r="519" ht="14.25" customHeight="1">
      <c r="H519" s="11"/>
      <c r="I519" s="4"/>
    </row>
    <row r="520" ht="14.25" customHeight="1">
      <c r="H520" s="11"/>
      <c r="I520" s="4"/>
    </row>
    <row r="521" ht="14.25" customHeight="1">
      <c r="H521" s="11"/>
      <c r="I521" s="4"/>
    </row>
    <row r="522" ht="14.25" customHeight="1">
      <c r="H522" s="11"/>
      <c r="I522" s="4"/>
    </row>
    <row r="523" ht="14.25" customHeight="1">
      <c r="H523" s="11"/>
      <c r="I523" s="4"/>
    </row>
    <row r="524" ht="14.25" customHeight="1">
      <c r="H524" s="11"/>
      <c r="I524" s="4"/>
    </row>
    <row r="525" ht="14.25" customHeight="1">
      <c r="H525" s="11"/>
      <c r="I525" s="4"/>
    </row>
    <row r="526" ht="14.25" customHeight="1">
      <c r="H526" s="11"/>
      <c r="I526" s="4"/>
    </row>
    <row r="527" ht="14.25" customHeight="1">
      <c r="H527" s="11"/>
      <c r="I527" s="4"/>
    </row>
    <row r="528" ht="14.25" customHeight="1">
      <c r="H528" s="11"/>
      <c r="I528" s="4"/>
    </row>
    <row r="529" ht="14.25" customHeight="1">
      <c r="H529" s="11"/>
      <c r="I529" s="4"/>
    </row>
    <row r="530" ht="14.25" customHeight="1">
      <c r="H530" s="11"/>
      <c r="I530" s="4"/>
    </row>
    <row r="531" ht="14.25" customHeight="1">
      <c r="H531" s="11"/>
      <c r="I531" s="4"/>
    </row>
    <row r="532" ht="14.25" customHeight="1">
      <c r="H532" s="11"/>
      <c r="I532" s="4"/>
    </row>
    <row r="533" ht="14.25" customHeight="1">
      <c r="H533" s="11"/>
      <c r="I533" s="4"/>
    </row>
    <row r="534" ht="14.25" customHeight="1">
      <c r="H534" s="11"/>
      <c r="I534" s="4"/>
    </row>
    <row r="535" ht="14.25" customHeight="1">
      <c r="H535" s="11"/>
      <c r="I535" s="4"/>
    </row>
    <row r="536" ht="14.25" customHeight="1">
      <c r="H536" s="11"/>
      <c r="I536" s="4"/>
    </row>
    <row r="537" ht="14.25" customHeight="1">
      <c r="H537" s="11"/>
      <c r="I537" s="4"/>
    </row>
    <row r="538" ht="14.25" customHeight="1">
      <c r="H538" s="11"/>
      <c r="I538" s="4"/>
    </row>
    <row r="539" ht="14.25" customHeight="1">
      <c r="H539" s="11"/>
      <c r="I539" s="4"/>
    </row>
    <row r="540" ht="14.25" customHeight="1">
      <c r="H540" s="11"/>
      <c r="I540" s="4"/>
    </row>
    <row r="541" ht="14.25" customHeight="1">
      <c r="H541" s="11"/>
      <c r="I541" s="4"/>
    </row>
    <row r="542" ht="14.25" customHeight="1">
      <c r="H542" s="11"/>
      <c r="I542" s="4"/>
    </row>
    <row r="543" ht="14.25" customHeight="1">
      <c r="H543" s="11"/>
      <c r="I543" s="4"/>
    </row>
    <row r="544" ht="14.25" customHeight="1">
      <c r="H544" s="11"/>
      <c r="I544" s="4"/>
    </row>
    <row r="545" ht="14.25" customHeight="1">
      <c r="H545" s="11"/>
      <c r="I545" s="4"/>
    </row>
    <row r="546" ht="14.25" customHeight="1">
      <c r="H546" s="11"/>
      <c r="I546" s="4"/>
    </row>
    <row r="547" ht="14.25" customHeight="1">
      <c r="H547" s="11"/>
      <c r="I547" s="4"/>
    </row>
    <row r="548" ht="14.25" customHeight="1">
      <c r="H548" s="11"/>
      <c r="I548" s="4"/>
    </row>
    <row r="549" ht="14.25" customHeight="1">
      <c r="H549" s="11"/>
      <c r="I549" s="4"/>
    </row>
    <row r="550" ht="14.25" customHeight="1">
      <c r="H550" s="11"/>
      <c r="I550" s="4"/>
    </row>
    <row r="551" ht="14.25" customHeight="1">
      <c r="H551" s="11"/>
      <c r="I551" s="4"/>
    </row>
    <row r="552" ht="14.25" customHeight="1">
      <c r="H552" s="11"/>
      <c r="I552" s="4"/>
    </row>
    <row r="553" ht="14.25" customHeight="1">
      <c r="H553" s="11"/>
      <c r="I553" s="4"/>
    </row>
    <row r="554" ht="14.25" customHeight="1">
      <c r="H554" s="11"/>
      <c r="I554" s="4"/>
    </row>
    <row r="555" ht="14.25" customHeight="1">
      <c r="H555" s="11"/>
      <c r="I555" s="4"/>
    </row>
    <row r="556" ht="14.25" customHeight="1">
      <c r="H556" s="11"/>
      <c r="I556" s="4"/>
    </row>
    <row r="557" ht="14.25" customHeight="1">
      <c r="H557" s="11"/>
      <c r="I557" s="4"/>
    </row>
    <row r="558" ht="14.25" customHeight="1">
      <c r="H558" s="11"/>
      <c r="I558" s="4"/>
    </row>
    <row r="559" ht="14.25" customHeight="1">
      <c r="H559" s="11"/>
      <c r="I559" s="4"/>
    </row>
    <row r="560" ht="14.25" customHeight="1">
      <c r="H560" s="11"/>
      <c r="I560" s="4"/>
    </row>
    <row r="561" ht="14.25" customHeight="1">
      <c r="H561" s="11"/>
      <c r="I561" s="4"/>
    </row>
    <row r="562" ht="14.25" customHeight="1">
      <c r="H562" s="11"/>
      <c r="I562" s="4"/>
    </row>
    <row r="563" ht="14.25" customHeight="1">
      <c r="H563" s="11"/>
      <c r="I563" s="4"/>
    </row>
    <row r="564" ht="14.25" customHeight="1">
      <c r="H564" s="11"/>
      <c r="I564" s="4"/>
    </row>
    <row r="565" ht="14.25" customHeight="1">
      <c r="H565" s="11"/>
      <c r="I565" s="4"/>
    </row>
    <row r="566" ht="14.25" customHeight="1">
      <c r="H566" s="11"/>
      <c r="I566" s="4"/>
    </row>
    <row r="567" ht="14.25" customHeight="1">
      <c r="H567" s="11"/>
      <c r="I567" s="4"/>
    </row>
    <row r="568" ht="14.25" customHeight="1">
      <c r="H568" s="11"/>
      <c r="I568" s="4"/>
    </row>
    <row r="569" ht="14.25" customHeight="1">
      <c r="H569" s="11"/>
      <c r="I569" s="4"/>
    </row>
    <row r="570" ht="14.25" customHeight="1">
      <c r="H570" s="11"/>
      <c r="I570" s="4"/>
    </row>
    <row r="571" ht="14.25" customHeight="1">
      <c r="H571" s="11"/>
      <c r="I571" s="4"/>
    </row>
    <row r="572" ht="14.25" customHeight="1">
      <c r="H572" s="11"/>
      <c r="I572" s="4"/>
    </row>
    <row r="573" ht="14.25" customHeight="1">
      <c r="H573" s="11"/>
      <c r="I573" s="4"/>
    </row>
    <row r="574" ht="14.25" customHeight="1">
      <c r="H574" s="11"/>
      <c r="I574" s="4"/>
    </row>
    <row r="575" ht="14.25" customHeight="1">
      <c r="H575" s="11"/>
      <c r="I575" s="4"/>
    </row>
    <row r="576" ht="14.25" customHeight="1">
      <c r="H576" s="11"/>
      <c r="I576" s="4"/>
    </row>
    <row r="577" ht="14.25" customHeight="1">
      <c r="H577" s="11"/>
      <c r="I577" s="4"/>
    </row>
    <row r="578" ht="14.25" customHeight="1">
      <c r="H578" s="11"/>
      <c r="I578" s="4"/>
    </row>
    <row r="579" ht="14.25" customHeight="1">
      <c r="H579" s="11"/>
      <c r="I579" s="4"/>
    </row>
    <row r="580" ht="14.25" customHeight="1">
      <c r="H580" s="11"/>
      <c r="I580" s="4"/>
    </row>
    <row r="581" ht="14.25" customHeight="1">
      <c r="H581" s="11"/>
      <c r="I581" s="4"/>
    </row>
    <row r="582" ht="14.25" customHeight="1">
      <c r="H582" s="11"/>
      <c r="I582" s="4"/>
    </row>
    <row r="583" ht="14.25" customHeight="1">
      <c r="H583" s="11"/>
      <c r="I583" s="4"/>
    </row>
    <row r="584" ht="14.25" customHeight="1">
      <c r="H584" s="11"/>
      <c r="I584" s="4"/>
    </row>
    <row r="585" ht="14.25" customHeight="1">
      <c r="H585" s="11"/>
      <c r="I585" s="4"/>
    </row>
    <row r="586" ht="14.25" customHeight="1">
      <c r="H586" s="11"/>
      <c r="I586" s="4"/>
    </row>
    <row r="587" ht="14.25" customHeight="1">
      <c r="H587" s="11"/>
      <c r="I587" s="4"/>
    </row>
    <row r="588" ht="14.25" customHeight="1">
      <c r="H588" s="11"/>
      <c r="I588" s="4"/>
    </row>
    <row r="589" ht="14.25" customHeight="1">
      <c r="H589" s="11"/>
      <c r="I589" s="4"/>
    </row>
    <row r="590" ht="14.25" customHeight="1">
      <c r="H590" s="11"/>
      <c r="I590" s="4"/>
    </row>
    <row r="591" ht="14.25" customHeight="1">
      <c r="H591" s="11"/>
      <c r="I591" s="4"/>
    </row>
    <row r="592" ht="14.25" customHeight="1">
      <c r="H592" s="11"/>
      <c r="I592" s="4"/>
    </row>
    <row r="593" ht="14.25" customHeight="1">
      <c r="H593" s="11"/>
      <c r="I593" s="4"/>
    </row>
    <row r="594" ht="14.25" customHeight="1">
      <c r="H594" s="11"/>
      <c r="I594" s="4"/>
    </row>
    <row r="595" ht="14.25" customHeight="1">
      <c r="H595" s="11"/>
      <c r="I595" s="4"/>
    </row>
    <row r="596" ht="14.25" customHeight="1">
      <c r="H596" s="11"/>
      <c r="I596" s="4"/>
    </row>
    <row r="597" ht="14.25" customHeight="1">
      <c r="H597" s="11"/>
      <c r="I597" s="4"/>
    </row>
    <row r="598" ht="14.25" customHeight="1">
      <c r="H598" s="11"/>
      <c r="I598" s="4"/>
    </row>
    <row r="599" ht="14.25" customHeight="1">
      <c r="H599" s="11"/>
      <c r="I599" s="4"/>
    </row>
    <row r="600" ht="14.25" customHeight="1">
      <c r="H600" s="11"/>
      <c r="I600" s="4"/>
    </row>
    <row r="601" ht="14.25" customHeight="1">
      <c r="H601" s="11"/>
      <c r="I601" s="4"/>
    </row>
    <row r="602" ht="14.25" customHeight="1">
      <c r="H602" s="11"/>
      <c r="I602" s="4"/>
    </row>
    <row r="603" ht="14.25" customHeight="1">
      <c r="H603" s="11"/>
      <c r="I603" s="4"/>
    </row>
    <row r="604" ht="14.25" customHeight="1">
      <c r="H604" s="11"/>
      <c r="I604" s="4"/>
    </row>
    <row r="605" ht="14.25" customHeight="1">
      <c r="H605" s="11"/>
      <c r="I605" s="4"/>
    </row>
    <row r="606" ht="14.25" customHeight="1">
      <c r="H606" s="11"/>
      <c r="I606" s="4"/>
    </row>
    <row r="607" ht="14.25" customHeight="1">
      <c r="H607" s="11"/>
      <c r="I607" s="4"/>
    </row>
    <row r="608" ht="14.25" customHeight="1">
      <c r="H608" s="11"/>
      <c r="I608" s="4"/>
    </row>
    <row r="609" ht="14.25" customHeight="1">
      <c r="H609" s="11"/>
      <c r="I609" s="4"/>
    </row>
    <row r="610" ht="14.25" customHeight="1">
      <c r="H610" s="11"/>
      <c r="I610" s="4"/>
    </row>
    <row r="611" ht="14.25" customHeight="1">
      <c r="H611" s="11"/>
      <c r="I611" s="4"/>
    </row>
    <row r="612" ht="14.25" customHeight="1">
      <c r="H612" s="11"/>
      <c r="I612" s="4"/>
    </row>
    <row r="613" ht="14.25" customHeight="1">
      <c r="H613" s="11"/>
      <c r="I613" s="4"/>
    </row>
    <row r="614" ht="14.25" customHeight="1">
      <c r="H614" s="11"/>
      <c r="I614" s="4"/>
    </row>
    <row r="615" ht="14.25" customHeight="1">
      <c r="H615" s="11"/>
      <c r="I615" s="4"/>
    </row>
    <row r="616" ht="14.25" customHeight="1">
      <c r="H616" s="11"/>
      <c r="I616" s="4"/>
    </row>
    <row r="617" ht="14.25" customHeight="1">
      <c r="H617" s="11"/>
      <c r="I617" s="4"/>
    </row>
    <row r="618" ht="14.25" customHeight="1">
      <c r="H618" s="11"/>
      <c r="I618" s="4"/>
    </row>
    <row r="619" ht="14.25" customHeight="1">
      <c r="H619" s="11"/>
      <c r="I619" s="4"/>
    </row>
    <row r="620" ht="14.25" customHeight="1">
      <c r="H620" s="11"/>
      <c r="I620" s="4"/>
    </row>
    <row r="621" ht="14.25" customHeight="1">
      <c r="H621" s="11"/>
      <c r="I621" s="4"/>
    </row>
    <row r="622" ht="14.25" customHeight="1">
      <c r="H622" s="11"/>
      <c r="I622" s="4"/>
    </row>
    <row r="623" ht="14.25" customHeight="1">
      <c r="H623" s="11"/>
      <c r="I623" s="4"/>
    </row>
    <row r="624" ht="14.25" customHeight="1">
      <c r="H624" s="11"/>
      <c r="I624" s="4"/>
    </row>
    <row r="625" ht="14.25" customHeight="1">
      <c r="H625" s="11"/>
      <c r="I625" s="4"/>
    </row>
    <row r="626" ht="14.25" customHeight="1">
      <c r="H626" s="11"/>
      <c r="I626" s="4"/>
    </row>
    <row r="627" ht="14.25" customHeight="1">
      <c r="H627" s="11"/>
      <c r="I627" s="4"/>
    </row>
    <row r="628" ht="14.25" customHeight="1">
      <c r="H628" s="11"/>
      <c r="I628" s="4"/>
    </row>
    <row r="629" ht="14.25" customHeight="1">
      <c r="H629" s="11"/>
      <c r="I629" s="4"/>
    </row>
    <row r="630" ht="14.25" customHeight="1">
      <c r="H630" s="11"/>
      <c r="I630" s="4"/>
    </row>
    <row r="631" ht="14.25" customHeight="1">
      <c r="H631" s="11"/>
      <c r="I631" s="4"/>
    </row>
    <row r="632" ht="14.25" customHeight="1">
      <c r="H632" s="11"/>
      <c r="I632" s="4"/>
    </row>
    <row r="633" ht="14.25" customHeight="1">
      <c r="H633" s="11"/>
      <c r="I633" s="4"/>
    </row>
    <row r="634" ht="14.25" customHeight="1">
      <c r="H634" s="11"/>
      <c r="I634" s="4"/>
    </row>
    <row r="635" ht="14.25" customHeight="1">
      <c r="H635" s="11"/>
      <c r="I635" s="4"/>
    </row>
    <row r="636" ht="14.25" customHeight="1">
      <c r="H636" s="11"/>
      <c r="I636" s="4"/>
    </row>
    <row r="637" ht="14.25" customHeight="1">
      <c r="H637" s="11"/>
      <c r="I637" s="4"/>
    </row>
    <row r="638" ht="14.25" customHeight="1">
      <c r="H638" s="11"/>
      <c r="I638" s="4"/>
    </row>
    <row r="639" ht="14.25" customHeight="1">
      <c r="H639" s="11"/>
      <c r="I639" s="4"/>
    </row>
    <row r="640" ht="14.25" customHeight="1">
      <c r="H640" s="11"/>
      <c r="I640" s="4"/>
    </row>
    <row r="641" ht="14.25" customHeight="1">
      <c r="H641" s="11"/>
      <c r="I641" s="4"/>
    </row>
    <row r="642" ht="14.25" customHeight="1">
      <c r="H642" s="11"/>
      <c r="I642" s="4"/>
    </row>
    <row r="643" ht="14.25" customHeight="1">
      <c r="H643" s="11"/>
      <c r="I643" s="4"/>
    </row>
    <row r="644" ht="14.25" customHeight="1">
      <c r="H644" s="11"/>
      <c r="I644" s="4"/>
    </row>
    <row r="645" ht="14.25" customHeight="1">
      <c r="H645" s="11"/>
      <c r="I645" s="4"/>
    </row>
    <row r="646" ht="14.25" customHeight="1">
      <c r="H646" s="11"/>
      <c r="I646" s="4"/>
    </row>
    <row r="647" ht="14.25" customHeight="1">
      <c r="H647" s="11"/>
      <c r="I647" s="4"/>
    </row>
    <row r="648" ht="14.25" customHeight="1">
      <c r="H648" s="11"/>
      <c r="I648" s="4"/>
    </row>
    <row r="649" ht="14.25" customHeight="1">
      <c r="H649" s="11"/>
      <c r="I649" s="4"/>
    </row>
    <row r="650" ht="14.25" customHeight="1">
      <c r="H650" s="11"/>
      <c r="I650" s="4"/>
    </row>
    <row r="651" ht="14.25" customHeight="1">
      <c r="H651" s="11"/>
      <c r="I651" s="4"/>
    </row>
    <row r="652" ht="14.25" customHeight="1">
      <c r="H652" s="11"/>
      <c r="I652" s="4"/>
    </row>
    <row r="653" ht="14.25" customHeight="1">
      <c r="H653" s="11"/>
      <c r="I653" s="4"/>
    </row>
    <row r="654" ht="14.25" customHeight="1">
      <c r="H654" s="11"/>
      <c r="I654" s="4"/>
    </row>
    <row r="655" ht="14.25" customHeight="1">
      <c r="H655" s="11"/>
      <c r="I655" s="4"/>
    </row>
    <row r="656" ht="14.25" customHeight="1">
      <c r="H656" s="11"/>
      <c r="I656" s="4"/>
    </row>
    <row r="657" ht="14.25" customHeight="1">
      <c r="H657" s="11"/>
      <c r="I657" s="4"/>
    </row>
    <row r="658" ht="14.25" customHeight="1">
      <c r="H658" s="11"/>
      <c r="I658" s="4"/>
    </row>
    <row r="659" ht="14.25" customHeight="1">
      <c r="H659" s="11"/>
      <c r="I659" s="4"/>
    </row>
    <row r="660" ht="14.25" customHeight="1">
      <c r="H660" s="11"/>
      <c r="I660" s="4"/>
    </row>
    <row r="661" ht="14.25" customHeight="1">
      <c r="H661" s="11"/>
      <c r="I661" s="4"/>
    </row>
    <row r="662" ht="14.25" customHeight="1">
      <c r="H662" s="11"/>
      <c r="I662" s="4"/>
    </row>
    <row r="663" ht="14.25" customHeight="1">
      <c r="H663" s="11"/>
      <c r="I663" s="4"/>
    </row>
    <row r="664" ht="14.25" customHeight="1">
      <c r="H664" s="11"/>
      <c r="I664" s="4"/>
    </row>
    <row r="665" ht="14.25" customHeight="1">
      <c r="H665" s="11"/>
      <c r="I665" s="4"/>
    </row>
    <row r="666" ht="14.25" customHeight="1">
      <c r="H666" s="11"/>
      <c r="I666" s="4"/>
    </row>
    <row r="667" ht="14.25" customHeight="1">
      <c r="H667" s="11"/>
      <c r="I667" s="4"/>
    </row>
    <row r="668" ht="14.25" customHeight="1">
      <c r="H668" s="11"/>
      <c r="I668" s="4"/>
    </row>
    <row r="669" ht="14.25" customHeight="1">
      <c r="H669" s="11"/>
      <c r="I669" s="4"/>
    </row>
    <row r="670" ht="14.25" customHeight="1">
      <c r="H670" s="11"/>
      <c r="I670" s="4"/>
    </row>
    <row r="671" ht="14.25" customHeight="1">
      <c r="H671" s="11"/>
      <c r="I671" s="4"/>
    </row>
    <row r="672" ht="14.25" customHeight="1">
      <c r="H672" s="11"/>
      <c r="I672" s="4"/>
    </row>
    <row r="673" ht="14.25" customHeight="1">
      <c r="H673" s="11"/>
      <c r="I673" s="4"/>
    </row>
    <row r="674" ht="14.25" customHeight="1">
      <c r="H674" s="11"/>
      <c r="I674" s="4"/>
    </row>
    <row r="675" ht="14.25" customHeight="1">
      <c r="H675" s="11"/>
      <c r="I675" s="4"/>
    </row>
    <row r="676" ht="14.25" customHeight="1">
      <c r="H676" s="11"/>
      <c r="I676" s="4"/>
    </row>
    <row r="677" ht="14.25" customHeight="1">
      <c r="H677" s="11"/>
      <c r="I677" s="4"/>
    </row>
    <row r="678" ht="14.25" customHeight="1">
      <c r="H678" s="11"/>
      <c r="I678" s="4"/>
    </row>
    <row r="679" ht="14.25" customHeight="1">
      <c r="H679" s="11"/>
      <c r="I679" s="4"/>
    </row>
    <row r="680" ht="14.25" customHeight="1">
      <c r="H680" s="11"/>
      <c r="I680" s="4"/>
    </row>
    <row r="681" ht="14.25" customHeight="1">
      <c r="H681" s="11"/>
      <c r="I681" s="4"/>
    </row>
    <row r="682" ht="14.25" customHeight="1">
      <c r="H682" s="11"/>
      <c r="I682" s="4"/>
    </row>
    <row r="683" ht="14.25" customHeight="1">
      <c r="H683" s="11"/>
      <c r="I683" s="4"/>
    </row>
    <row r="684" ht="14.25" customHeight="1">
      <c r="H684" s="11"/>
      <c r="I684" s="4"/>
    </row>
    <row r="685" ht="14.25" customHeight="1">
      <c r="H685" s="11"/>
      <c r="I685" s="4"/>
    </row>
    <row r="686" ht="14.25" customHeight="1">
      <c r="H686" s="11"/>
      <c r="I686" s="4"/>
    </row>
    <row r="687" ht="14.25" customHeight="1">
      <c r="H687" s="11"/>
      <c r="I687" s="4"/>
    </row>
    <row r="688" ht="14.25" customHeight="1">
      <c r="H688" s="11"/>
      <c r="I688" s="4"/>
    </row>
    <row r="689" ht="14.25" customHeight="1">
      <c r="H689" s="11"/>
      <c r="I689" s="4"/>
    </row>
    <row r="690" ht="14.25" customHeight="1">
      <c r="H690" s="11"/>
      <c r="I690" s="4"/>
    </row>
    <row r="691" ht="14.25" customHeight="1">
      <c r="H691" s="11"/>
      <c r="I691" s="4"/>
    </row>
    <row r="692" ht="14.25" customHeight="1">
      <c r="H692" s="11"/>
      <c r="I692" s="4"/>
    </row>
    <row r="693" ht="14.25" customHeight="1">
      <c r="H693" s="11"/>
      <c r="I693" s="4"/>
    </row>
    <row r="694" ht="14.25" customHeight="1">
      <c r="H694" s="11"/>
      <c r="I694" s="4"/>
    </row>
    <row r="695" ht="14.25" customHeight="1">
      <c r="H695" s="11"/>
      <c r="I695" s="4"/>
    </row>
    <row r="696" ht="14.25" customHeight="1">
      <c r="H696" s="11"/>
      <c r="I696" s="4"/>
    </row>
    <row r="697" ht="14.25" customHeight="1">
      <c r="H697" s="11"/>
      <c r="I697" s="4"/>
    </row>
    <row r="698" ht="14.25" customHeight="1">
      <c r="H698" s="11"/>
      <c r="I698" s="4"/>
    </row>
    <row r="699" ht="14.25" customHeight="1">
      <c r="H699" s="11"/>
      <c r="I699" s="4"/>
    </row>
    <row r="700" ht="14.25" customHeight="1">
      <c r="H700" s="11"/>
      <c r="I700" s="4"/>
    </row>
    <row r="701" ht="14.25" customHeight="1">
      <c r="H701" s="11"/>
      <c r="I701" s="4"/>
    </row>
    <row r="702" ht="14.25" customHeight="1">
      <c r="H702" s="11"/>
      <c r="I702" s="4"/>
    </row>
    <row r="703" ht="14.25" customHeight="1">
      <c r="H703" s="11"/>
      <c r="I703" s="4"/>
    </row>
    <row r="704" ht="14.25" customHeight="1">
      <c r="H704" s="11"/>
      <c r="I704" s="4"/>
    </row>
    <row r="705" ht="14.25" customHeight="1">
      <c r="H705" s="11"/>
      <c r="I705" s="4"/>
    </row>
    <row r="706" ht="14.25" customHeight="1">
      <c r="H706" s="11"/>
      <c r="I706" s="4"/>
    </row>
    <row r="707" ht="14.25" customHeight="1">
      <c r="H707" s="11"/>
      <c r="I707" s="4"/>
    </row>
    <row r="708" ht="14.25" customHeight="1">
      <c r="H708" s="11"/>
      <c r="I708" s="4"/>
    </row>
    <row r="709" ht="14.25" customHeight="1">
      <c r="H709" s="11"/>
      <c r="I709" s="4"/>
    </row>
    <row r="710" ht="14.25" customHeight="1">
      <c r="H710" s="11"/>
      <c r="I710" s="4"/>
    </row>
    <row r="711" ht="14.25" customHeight="1">
      <c r="H711" s="11"/>
      <c r="I711" s="4"/>
    </row>
    <row r="712" ht="14.25" customHeight="1">
      <c r="H712" s="11"/>
      <c r="I712" s="4"/>
    </row>
    <row r="713" ht="14.25" customHeight="1">
      <c r="H713" s="11"/>
      <c r="I713" s="4"/>
    </row>
    <row r="714" ht="14.25" customHeight="1">
      <c r="H714" s="11"/>
      <c r="I714" s="4"/>
    </row>
    <row r="715" ht="14.25" customHeight="1">
      <c r="H715" s="11"/>
      <c r="I715" s="4"/>
    </row>
    <row r="716" ht="14.25" customHeight="1">
      <c r="H716" s="11"/>
      <c r="I716" s="4"/>
    </row>
    <row r="717" ht="14.25" customHeight="1">
      <c r="H717" s="11"/>
      <c r="I717" s="4"/>
    </row>
    <row r="718" ht="14.25" customHeight="1">
      <c r="H718" s="11"/>
      <c r="I718" s="4"/>
    </row>
    <row r="719" ht="14.25" customHeight="1">
      <c r="H719" s="11"/>
      <c r="I719" s="4"/>
    </row>
    <row r="720" ht="14.25" customHeight="1">
      <c r="H720" s="11"/>
      <c r="I720" s="4"/>
    </row>
    <row r="721" ht="14.25" customHeight="1">
      <c r="H721" s="11"/>
      <c r="I721" s="4"/>
    </row>
    <row r="722" ht="14.25" customHeight="1">
      <c r="H722" s="11"/>
      <c r="I722" s="4"/>
    </row>
    <row r="723" ht="14.25" customHeight="1">
      <c r="H723" s="11"/>
      <c r="I723" s="4"/>
    </row>
    <row r="724" ht="14.25" customHeight="1">
      <c r="H724" s="11"/>
      <c r="I724" s="4"/>
    </row>
    <row r="725" ht="14.25" customHeight="1">
      <c r="H725" s="11"/>
      <c r="I725" s="4"/>
    </row>
    <row r="726" ht="14.25" customHeight="1">
      <c r="H726" s="11"/>
      <c r="I726" s="4"/>
    </row>
    <row r="727" ht="14.25" customHeight="1">
      <c r="H727" s="11"/>
      <c r="I727" s="4"/>
    </row>
    <row r="728" ht="14.25" customHeight="1">
      <c r="H728" s="11"/>
      <c r="I728" s="4"/>
    </row>
    <row r="729" ht="14.25" customHeight="1">
      <c r="H729" s="11"/>
      <c r="I729" s="4"/>
    </row>
    <row r="730" ht="14.25" customHeight="1">
      <c r="H730" s="11"/>
      <c r="I730" s="4"/>
    </row>
    <row r="731" ht="14.25" customHeight="1">
      <c r="H731" s="11"/>
      <c r="I731" s="4"/>
    </row>
    <row r="732" ht="14.25" customHeight="1">
      <c r="H732" s="11"/>
      <c r="I732" s="4"/>
    </row>
    <row r="733" ht="14.25" customHeight="1">
      <c r="H733" s="11"/>
      <c r="I733" s="4"/>
    </row>
    <row r="734" ht="14.25" customHeight="1">
      <c r="H734" s="11"/>
      <c r="I734" s="4"/>
    </row>
    <row r="735" ht="14.25" customHeight="1">
      <c r="H735" s="11"/>
      <c r="I735" s="4"/>
    </row>
    <row r="736" ht="14.25" customHeight="1">
      <c r="H736" s="11"/>
      <c r="I736" s="4"/>
    </row>
    <row r="737" ht="14.25" customHeight="1">
      <c r="H737" s="11"/>
      <c r="I737" s="4"/>
    </row>
    <row r="738" ht="14.25" customHeight="1">
      <c r="H738" s="11"/>
      <c r="I738" s="4"/>
    </row>
    <row r="739" ht="14.25" customHeight="1">
      <c r="H739" s="11"/>
      <c r="I739" s="4"/>
    </row>
    <row r="740" ht="14.25" customHeight="1">
      <c r="H740" s="11"/>
      <c r="I740" s="4"/>
    </row>
    <row r="741" ht="14.25" customHeight="1">
      <c r="H741" s="11"/>
      <c r="I741" s="4"/>
    </row>
    <row r="742" ht="14.25" customHeight="1">
      <c r="H742" s="11"/>
      <c r="I742" s="4"/>
    </row>
    <row r="743" ht="14.25" customHeight="1">
      <c r="H743" s="11"/>
      <c r="I743" s="4"/>
    </row>
    <row r="744" ht="14.25" customHeight="1">
      <c r="H744" s="11"/>
      <c r="I744" s="4"/>
    </row>
    <row r="745" ht="14.25" customHeight="1">
      <c r="H745" s="11"/>
      <c r="I745" s="4"/>
    </row>
    <row r="746" ht="14.25" customHeight="1">
      <c r="H746" s="11"/>
      <c r="I746" s="4"/>
    </row>
    <row r="747" ht="14.25" customHeight="1">
      <c r="H747" s="11"/>
      <c r="I747" s="4"/>
    </row>
    <row r="748" ht="14.25" customHeight="1">
      <c r="H748" s="11"/>
      <c r="I748" s="4"/>
    </row>
    <row r="749" ht="14.25" customHeight="1">
      <c r="H749" s="11"/>
      <c r="I749" s="4"/>
    </row>
    <row r="750" ht="14.25" customHeight="1">
      <c r="H750" s="11"/>
      <c r="I750" s="4"/>
    </row>
    <row r="751" ht="14.25" customHeight="1">
      <c r="H751" s="11"/>
      <c r="I751" s="4"/>
    </row>
    <row r="752" ht="14.25" customHeight="1">
      <c r="H752" s="11"/>
      <c r="I752" s="4"/>
    </row>
    <row r="753" ht="14.25" customHeight="1">
      <c r="H753" s="11"/>
      <c r="I753" s="4"/>
    </row>
    <row r="754" ht="14.25" customHeight="1">
      <c r="H754" s="11"/>
      <c r="I754" s="4"/>
    </row>
    <row r="755" ht="14.25" customHeight="1">
      <c r="H755" s="11"/>
      <c r="I755" s="4"/>
    </row>
    <row r="756" ht="14.25" customHeight="1">
      <c r="H756" s="11"/>
      <c r="I756" s="4"/>
    </row>
    <row r="757" ht="14.25" customHeight="1">
      <c r="H757" s="11"/>
      <c r="I757" s="4"/>
    </row>
    <row r="758" ht="14.25" customHeight="1">
      <c r="H758" s="11"/>
      <c r="I758" s="4"/>
    </row>
    <row r="759" ht="14.25" customHeight="1">
      <c r="H759" s="11"/>
      <c r="I759" s="4"/>
    </row>
    <row r="760" ht="14.25" customHeight="1">
      <c r="H760" s="11"/>
      <c r="I760" s="4"/>
    </row>
    <row r="761" ht="14.25" customHeight="1">
      <c r="H761" s="11"/>
      <c r="I761" s="4"/>
    </row>
    <row r="762" ht="14.25" customHeight="1">
      <c r="H762" s="11"/>
      <c r="I762" s="4"/>
    </row>
    <row r="763" ht="14.25" customHeight="1">
      <c r="H763" s="11"/>
      <c r="I763" s="4"/>
    </row>
    <row r="764" ht="14.25" customHeight="1">
      <c r="H764" s="11"/>
      <c r="I764" s="4"/>
    </row>
    <row r="765" ht="14.25" customHeight="1">
      <c r="H765" s="11"/>
      <c r="I765" s="4"/>
    </row>
    <row r="766" ht="14.25" customHeight="1">
      <c r="H766" s="11"/>
      <c r="I766" s="4"/>
    </row>
    <row r="767" ht="14.25" customHeight="1">
      <c r="H767" s="11"/>
      <c r="I767" s="4"/>
    </row>
    <row r="768" ht="14.25" customHeight="1">
      <c r="H768" s="11"/>
      <c r="I768" s="4"/>
    </row>
    <row r="769" ht="14.25" customHeight="1">
      <c r="H769" s="11"/>
      <c r="I769" s="4"/>
    </row>
    <row r="770" ht="14.25" customHeight="1">
      <c r="H770" s="11"/>
      <c r="I770" s="4"/>
    </row>
    <row r="771" ht="14.25" customHeight="1">
      <c r="H771" s="11"/>
      <c r="I771" s="4"/>
    </row>
    <row r="772" ht="14.25" customHeight="1">
      <c r="H772" s="11"/>
      <c r="I772" s="4"/>
    </row>
    <row r="773" ht="14.25" customHeight="1">
      <c r="H773" s="11"/>
      <c r="I773" s="4"/>
    </row>
    <row r="774" ht="14.25" customHeight="1">
      <c r="H774" s="11"/>
      <c r="I774" s="4"/>
    </row>
    <row r="775" ht="14.25" customHeight="1">
      <c r="H775" s="11"/>
      <c r="I775" s="4"/>
    </row>
    <row r="776" ht="14.25" customHeight="1">
      <c r="H776" s="11"/>
      <c r="I776" s="4"/>
    </row>
    <row r="777" ht="14.25" customHeight="1">
      <c r="H777" s="11"/>
      <c r="I777" s="4"/>
    </row>
    <row r="778" ht="14.25" customHeight="1">
      <c r="H778" s="11"/>
      <c r="I778" s="4"/>
    </row>
    <row r="779" ht="14.25" customHeight="1">
      <c r="H779" s="11"/>
      <c r="I779" s="4"/>
    </row>
    <row r="780" ht="14.25" customHeight="1">
      <c r="H780" s="11"/>
      <c r="I780" s="4"/>
    </row>
    <row r="781" ht="14.25" customHeight="1">
      <c r="H781" s="11"/>
      <c r="I781" s="4"/>
    </row>
    <row r="782" ht="14.25" customHeight="1">
      <c r="H782" s="11"/>
      <c r="I782" s="4"/>
    </row>
    <row r="783" ht="14.25" customHeight="1">
      <c r="H783" s="11"/>
      <c r="I783" s="4"/>
    </row>
    <row r="784" ht="14.25" customHeight="1">
      <c r="H784" s="11"/>
      <c r="I784" s="4"/>
    </row>
    <row r="785" ht="14.25" customHeight="1">
      <c r="H785" s="11"/>
      <c r="I785" s="4"/>
    </row>
    <row r="786" ht="14.25" customHeight="1">
      <c r="H786" s="11"/>
      <c r="I786" s="4"/>
    </row>
    <row r="787" ht="14.25" customHeight="1">
      <c r="H787" s="11"/>
      <c r="I787" s="4"/>
    </row>
    <row r="788" ht="14.25" customHeight="1">
      <c r="H788" s="11"/>
      <c r="I788" s="4"/>
    </row>
    <row r="789" ht="14.25" customHeight="1">
      <c r="H789" s="11"/>
      <c r="I789" s="4"/>
    </row>
    <row r="790" ht="14.25" customHeight="1">
      <c r="H790" s="11"/>
      <c r="I790" s="4"/>
    </row>
    <row r="791" ht="14.25" customHeight="1">
      <c r="H791" s="11"/>
      <c r="I791" s="4"/>
    </row>
    <row r="792" ht="14.25" customHeight="1">
      <c r="H792" s="11"/>
      <c r="I792" s="4"/>
    </row>
    <row r="793" ht="14.25" customHeight="1">
      <c r="H793" s="11"/>
      <c r="I793" s="4"/>
    </row>
    <row r="794" ht="14.25" customHeight="1">
      <c r="H794" s="11"/>
      <c r="I794" s="4"/>
    </row>
    <row r="795" ht="14.25" customHeight="1">
      <c r="H795" s="11"/>
      <c r="I795" s="4"/>
    </row>
    <row r="796" ht="14.25" customHeight="1">
      <c r="H796" s="11"/>
      <c r="I796" s="4"/>
    </row>
    <row r="797" ht="14.25" customHeight="1">
      <c r="H797" s="11"/>
      <c r="I797" s="4"/>
    </row>
    <row r="798" ht="14.25" customHeight="1">
      <c r="H798" s="11"/>
      <c r="I798" s="4"/>
    </row>
    <row r="799" ht="14.25" customHeight="1">
      <c r="H799" s="11"/>
      <c r="I799" s="4"/>
    </row>
    <row r="800" ht="14.25" customHeight="1">
      <c r="H800" s="11"/>
      <c r="I800" s="4"/>
    </row>
    <row r="801" ht="14.25" customHeight="1">
      <c r="H801" s="11"/>
      <c r="I801" s="4"/>
    </row>
    <row r="802" ht="14.25" customHeight="1">
      <c r="H802" s="11"/>
      <c r="I802" s="4"/>
    </row>
    <row r="803" ht="14.25" customHeight="1">
      <c r="H803" s="11"/>
      <c r="I803" s="4"/>
    </row>
    <row r="804" ht="14.25" customHeight="1">
      <c r="H804" s="11"/>
      <c r="I804" s="4"/>
    </row>
    <row r="805" ht="14.25" customHeight="1">
      <c r="H805" s="11"/>
      <c r="I805" s="4"/>
    </row>
    <row r="806" ht="14.25" customHeight="1">
      <c r="H806" s="11"/>
      <c r="I806" s="4"/>
    </row>
    <row r="807" ht="14.25" customHeight="1">
      <c r="H807" s="11"/>
      <c r="I807" s="4"/>
    </row>
    <row r="808" ht="14.25" customHeight="1">
      <c r="H808" s="11"/>
      <c r="I808" s="4"/>
    </row>
    <row r="809" ht="14.25" customHeight="1">
      <c r="H809" s="11"/>
      <c r="I809" s="4"/>
    </row>
    <row r="810" ht="14.25" customHeight="1">
      <c r="H810" s="11"/>
      <c r="I810" s="4"/>
    </row>
    <row r="811" ht="14.25" customHeight="1">
      <c r="H811" s="11"/>
      <c r="I811" s="4"/>
    </row>
    <row r="812" ht="14.25" customHeight="1">
      <c r="H812" s="11"/>
      <c r="I812" s="4"/>
    </row>
    <row r="813" ht="14.25" customHeight="1">
      <c r="H813" s="11"/>
      <c r="I813" s="4"/>
    </row>
    <row r="814" ht="14.25" customHeight="1">
      <c r="H814" s="11"/>
      <c r="I814" s="4"/>
    </row>
    <row r="815" ht="14.25" customHeight="1">
      <c r="H815" s="11"/>
      <c r="I815" s="4"/>
    </row>
    <row r="816" ht="14.25" customHeight="1">
      <c r="H816" s="11"/>
      <c r="I816" s="4"/>
    </row>
    <row r="817" ht="14.25" customHeight="1">
      <c r="H817" s="11"/>
      <c r="I817" s="4"/>
    </row>
    <row r="818" ht="14.25" customHeight="1">
      <c r="H818" s="11"/>
      <c r="I818" s="4"/>
    </row>
    <row r="819" ht="14.25" customHeight="1">
      <c r="H819" s="11"/>
      <c r="I819" s="4"/>
    </row>
    <row r="820" ht="14.25" customHeight="1">
      <c r="H820" s="11"/>
      <c r="I820" s="4"/>
    </row>
    <row r="821" ht="14.25" customHeight="1">
      <c r="H821" s="11"/>
      <c r="I821" s="4"/>
    </row>
    <row r="822" ht="14.25" customHeight="1">
      <c r="H822" s="11"/>
      <c r="I822" s="4"/>
    </row>
    <row r="823" ht="14.25" customHeight="1">
      <c r="H823" s="11"/>
      <c r="I823" s="4"/>
    </row>
    <row r="824" ht="14.25" customHeight="1">
      <c r="H824" s="11"/>
      <c r="I824" s="4"/>
    </row>
    <row r="825" ht="14.25" customHeight="1">
      <c r="H825" s="11"/>
      <c r="I825" s="4"/>
    </row>
    <row r="826" ht="14.25" customHeight="1">
      <c r="H826" s="11"/>
      <c r="I826" s="4"/>
    </row>
    <row r="827" ht="14.25" customHeight="1">
      <c r="H827" s="11"/>
      <c r="I827" s="4"/>
    </row>
    <row r="828" ht="14.25" customHeight="1">
      <c r="H828" s="11"/>
      <c r="I828" s="4"/>
    </row>
    <row r="829" ht="14.25" customHeight="1">
      <c r="H829" s="11"/>
      <c r="I829" s="4"/>
    </row>
    <row r="830" ht="14.25" customHeight="1">
      <c r="H830" s="11"/>
      <c r="I830" s="4"/>
    </row>
    <row r="831" ht="14.25" customHeight="1">
      <c r="H831" s="11"/>
      <c r="I831" s="4"/>
    </row>
    <row r="832" ht="14.25" customHeight="1">
      <c r="H832" s="11"/>
      <c r="I832" s="4"/>
    </row>
    <row r="833" ht="14.25" customHeight="1">
      <c r="H833" s="11"/>
      <c r="I833" s="4"/>
    </row>
    <row r="834" ht="14.25" customHeight="1">
      <c r="H834" s="11"/>
      <c r="I834" s="4"/>
    </row>
    <row r="835" ht="14.25" customHeight="1">
      <c r="H835" s="11"/>
      <c r="I835" s="4"/>
    </row>
    <row r="836" ht="14.25" customHeight="1">
      <c r="H836" s="11"/>
      <c r="I836" s="4"/>
    </row>
    <row r="837" ht="14.25" customHeight="1">
      <c r="H837" s="11"/>
      <c r="I837" s="4"/>
    </row>
    <row r="838" ht="14.25" customHeight="1">
      <c r="H838" s="11"/>
      <c r="I838" s="4"/>
    </row>
    <row r="839" ht="14.25" customHeight="1">
      <c r="H839" s="11"/>
      <c r="I839" s="4"/>
    </row>
    <row r="840" ht="14.25" customHeight="1">
      <c r="H840" s="11"/>
      <c r="I840" s="4"/>
    </row>
    <row r="841" ht="14.25" customHeight="1">
      <c r="H841" s="11"/>
      <c r="I841" s="4"/>
    </row>
    <row r="842" ht="14.25" customHeight="1">
      <c r="H842" s="11"/>
      <c r="I842" s="4"/>
    </row>
    <row r="843" ht="14.25" customHeight="1">
      <c r="H843" s="11"/>
      <c r="I843" s="4"/>
    </row>
    <row r="844" ht="14.25" customHeight="1">
      <c r="H844" s="11"/>
      <c r="I844" s="4"/>
    </row>
    <row r="845" ht="14.25" customHeight="1">
      <c r="H845" s="11"/>
      <c r="I845" s="4"/>
    </row>
    <row r="846" ht="14.25" customHeight="1">
      <c r="H846" s="11"/>
      <c r="I846" s="4"/>
    </row>
    <row r="847" ht="14.25" customHeight="1">
      <c r="H847" s="11"/>
      <c r="I847" s="4"/>
    </row>
    <row r="848" ht="14.25" customHeight="1">
      <c r="H848" s="11"/>
      <c r="I848" s="4"/>
    </row>
    <row r="849" ht="14.25" customHeight="1">
      <c r="H849" s="11"/>
      <c r="I849" s="4"/>
    </row>
    <row r="850" ht="14.25" customHeight="1">
      <c r="H850" s="11"/>
      <c r="I850" s="4"/>
    </row>
    <row r="851" ht="14.25" customHeight="1">
      <c r="H851" s="11"/>
      <c r="I851" s="4"/>
    </row>
    <row r="852" ht="14.25" customHeight="1">
      <c r="H852" s="11"/>
      <c r="I852" s="4"/>
    </row>
    <row r="853" ht="14.25" customHeight="1">
      <c r="H853" s="11"/>
      <c r="I853" s="4"/>
    </row>
    <row r="854" ht="14.25" customHeight="1">
      <c r="H854" s="11"/>
      <c r="I854" s="4"/>
    </row>
    <row r="855" ht="14.25" customHeight="1">
      <c r="H855" s="11"/>
      <c r="I855" s="4"/>
    </row>
    <row r="856" ht="14.25" customHeight="1">
      <c r="H856" s="11"/>
      <c r="I856" s="4"/>
    </row>
    <row r="857" ht="14.25" customHeight="1">
      <c r="H857" s="11"/>
      <c r="I857" s="4"/>
    </row>
    <row r="858" ht="14.25" customHeight="1">
      <c r="H858" s="11"/>
      <c r="I858" s="4"/>
    </row>
    <row r="859" ht="14.25" customHeight="1">
      <c r="H859" s="11"/>
      <c r="I859" s="4"/>
    </row>
    <row r="860" ht="14.25" customHeight="1">
      <c r="H860" s="11"/>
      <c r="I860" s="4"/>
    </row>
    <row r="861" ht="14.25" customHeight="1">
      <c r="H861" s="11"/>
      <c r="I861" s="4"/>
    </row>
    <row r="862" ht="14.25" customHeight="1">
      <c r="H862" s="11"/>
      <c r="I862" s="4"/>
    </row>
    <row r="863" ht="14.25" customHeight="1">
      <c r="H863" s="11"/>
      <c r="I863" s="4"/>
    </row>
    <row r="864" ht="14.25" customHeight="1">
      <c r="H864" s="11"/>
      <c r="I864" s="4"/>
    </row>
    <row r="865" ht="14.25" customHeight="1">
      <c r="H865" s="11"/>
      <c r="I865" s="4"/>
    </row>
    <row r="866" ht="14.25" customHeight="1">
      <c r="H866" s="11"/>
      <c r="I866" s="4"/>
    </row>
    <row r="867" ht="14.25" customHeight="1">
      <c r="H867" s="11"/>
      <c r="I867" s="4"/>
    </row>
    <row r="868" ht="14.25" customHeight="1">
      <c r="H868" s="11"/>
      <c r="I868" s="4"/>
    </row>
    <row r="869" ht="14.25" customHeight="1">
      <c r="H869" s="11"/>
      <c r="I869" s="4"/>
    </row>
    <row r="870" ht="14.25" customHeight="1">
      <c r="H870" s="11"/>
      <c r="I870" s="4"/>
    </row>
    <row r="871" ht="14.25" customHeight="1">
      <c r="H871" s="11"/>
      <c r="I871" s="4"/>
    </row>
    <row r="872" ht="14.25" customHeight="1">
      <c r="H872" s="11"/>
      <c r="I872" s="4"/>
    </row>
    <row r="873" ht="14.25" customHeight="1">
      <c r="H873" s="11"/>
      <c r="I873" s="4"/>
    </row>
    <row r="874" ht="14.25" customHeight="1">
      <c r="H874" s="11"/>
      <c r="I874" s="4"/>
    </row>
    <row r="875" ht="14.25" customHeight="1">
      <c r="H875" s="11"/>
      <c r="I875" s="4"/>
    </row>
    <row r="876" ht="14.25" customHeight="1">
      <c r="H876" s="11"/>
      <c r="I876" s="4"/>
    </row>
    <row r="877" ht="14.25" customHeight="1">
      <c r="H877" s="11"/>
      <c r="I877" s="4"/>
    </row>
    <row r="878" ht="14.25" customHeight="1">
      <c r="H878" s="11"/>
      <c r="I878" s="4"/>
    </row>
    <row r="879" ht="14.25" customHeight="1">
      <c r="H879" s="11"/>
      <c r="I879" s="4"/>
    </row>
    <row r="880" ht="14.25" customHeight="1">
      <c r="H880" s="11"/>
      <c r="I880" s="4"/>
    </row>
    <row r="881" ht="14.25" customHeight="1">
      <c r="H881" s="11"/>
      <c r="I881" s="4"/>
    </row>
    <row r="882" ht="14.25" customHeight="1">
      <c r="H882" s="11"/>
      <c r="I882" s="4"/>
    </row>
    <row r="883" ht="14.25" customHeight="1">
      <c r="H883" s="11"/>
      <c r="I883" s="4"/>
    </row>
    <row r="884" ht="14.25" customHeight="1">
      <c r="H884" s="11"/>
      <c r="I884" s="4"/>
    </row>
    <row r="885" ht="14.25" customHeight="1">
      <c r="H885" s="11"/>
      <c r="I885" s="4"/>
    </row>
    <row r="886" ht="14.25" customHeight="1">
      <c r="H886" s="11"/>
      <c r="I886" s="4"/>
    </row>
    <row r="887" ht="14.25" customHeight="1">
      <c r="H887" s="11"/>
      <c r="I887" s="4"/>
    </row>
    <row r="888" ht="14.25" customHeight="1">
      <c r="H888" s="11"/>
      <c r="I888" s="4"/>
    </row>
    <row r="889" ht="14.25" customHeight="1">
      <c r="H889" s="11"/>
      <c r="I889" s="4"/>
    </row>
    <row r="890" ht="14.25" customHeight="1">
      <c r="H890" s="11"/>
      <c r="I890" s="4"/>
    </row>
    <row r="891" ht="14.25" customHeight="1">
      <c r="H891" s="11"/>
      <c r="I891" s="4"/>
    </row>
    <row r="892" ht="14.25" customHeight="1">
      <c r="H892" s="11"/>
      <c r="I892" s="4"/>
    </row>
    <row r="893" ht="14.25" customHeight="1">
      <c r="H893" s="11"/>
      <c r="I893" s="4"/>
    </row>
    <row r="894" ht="14.25" customHeight="1">
      <c r="H894" s="11"/>
      <c r="I894" s="4"/>
    </row>
    <row r="895" ht="14.25" customHeight="1">
      <c r="H895" s="11"/>
      <c r="I895" s="4"/>
    </row>
    <row r="896" ht="14.25" customHeight="1">
      <c r="H896" s="11"/>
      <c r="I896" s="4"/>
    </row>
    <row r="897" ht="14.25" customHeight="1">
      <c r="H897" s="11"/>
      <c r="I897" s="4"/>
    </row>
    <row r="898" ht="14.25" customHeight="1">
      <c r="H898" s="11"/>
      <c r="I898" s="4"/>
    </row>
    <row r="899" ht="14.25" customHeight="1">
      <c r="H899" s="11"/>
      <c r="I899" s="4"/>
    </row>
    <row r="900" ht="14.25" customHeight="1">
      <c r="H900" s="11"/>
      <c r="I900" s="4"/>
    </row>
    <row r="901" ht="14.25" customHeight="1">
      <c r="H901" s="11"/>
      <c r="I901" s="4"/>
    </row>
    <row r="902" ht="14.25" customHeight="1">
      <c r="H902" s="11"/>
      <c r="I902" s="4"/>
    </row>
    <row r="903" ht="14.25" customHeight="1">
      <c r="H903" s="11"/>
      <c r="I903" s="4"/>
    </row>
    <row r="904" ht="14.25" customHeight="1">
      <c r="H904" s="11"/>
      <c r="I904" s="4"/>
    </row>
    <row r="905" ht="14.25" customHeight="1">
      <c r="H905" s="11"/>
      <c r="I905" s="4"/>
    </row>
    <row r="906" ht="14.25" customHeight="1">
      <c r="H906" s="11"/>
      <c r="I906" s="4"/>
    </row>
    <row r="907" ht="14.25" customHeight="1">
      <c r="H907" s="11"/>
      <c r="I907" s="4"/>
    </row>
    <row r="908" ht="14.25" customHeight="1">
      <c r="H908" s="11"/>
      <c r="I908" s="4"/>
    </row>
    <row r="909" ht="14.25" customHeight="1">
      <c r="H909" s="11"/>
      <c r="I909" s="4"/>
    </row>
    <row r="910" ht="14.25" customHeight="1">
      <c r="H910" s="11"/>
      <c r="I910" s="4"/>
    </row>
    <row r="911" ht="14.25" customHeight="1">
      <c r="H911" s="11"/>
      <c r="I911" s="4"/>
    </row>
    <row r="912" ht="14.25" customHeight="1">
      <c r="H912" s="11"/>
      <c r="I912" s="4"/>
    </row>
    <row r="913" ht="14.25" customHeight="1">
      <c r="H913" s="11"/>
      <c r="I913" s="4"/>
    </row>
    <row r="914" ht="14.25" customHeight="1">
      <c r="H914" s="11"/>
      <c r="I914" s="4"/>
    </row>
    <row r="915" ht="14.25" customHeight="1">
      <c r="H915" s="11"/>
      <c r="I915" s="4"/>
    </row>
    <row r="916" ht="14.25" customHeight="1">
      <c r="H916" s="11"/>
      <c r="I916" s="4"/>
    </row>
    <row r="917" ht="14.25" customHeight="1">
      <c r="H917" s="11"/>
      <c r="I917" s="4"/>
    </row>
    <row r="918" ht="14.25" customHeight="1">
      <c r="H918" s="11"/>
      <c r="I918" s="4"/>
    </row>
    <row r="919" ht="14.25" customHeight="1">
      <c r="H919" s="11"/>
      <c r="I919" s="4"/>
    </row>
    <row r="920" ht="14.25" customHeight="1">
      <c r="H920" s="11"/>
      <c r="I920" s="4"/>
    </row>
    <row r="921" ht="14.25" customHeight="1">
      <c r="H921" s="11"/>
      <c r="I921" s="4"/>
    </row>
    <row r="922" ht="14.25" customHeight="1">
      <c r="H922" s="11"/>
      <c r="I922" s="4"/>
    </row>
    <row r="923" ht="14.25" customHeight="1">
      <c r="H923" s="11"/>
      <c r="I923" s="4"/>
    </row>
    <row r="924" ht="14.25" customHeight="1">
      <c r="H924" s="11"/>
      <c r="I924" s="4"/>
    </row>
    <row r="925" ht="14.25" customHeight="1">
      <c r="H925" s="11"/>
      <c r="I925" s="4"/>
    </row>
    <row r="926" ht="14.25" customHeight="1">
      <c r="H926" s="11"/>
      <c r="I926" s="4"/>
    </row>
    <row r="927" ht="14.25" customHeight="1">
      <c r="H927" s="11"/>
      <c r="I927" s="4"/>
    </row>
    <row r="928" ht="14.25" customHeight="1">
      <c r="H928" s="11"/>
      <c r="I928" s="4"/>
    </row>
    <row r="929" ht="14.25" customHeight="1">
      <c r="H929" s="11"/>
      <c r="I929" s="4"/>
    </row>
    <row r="930" ht="14.25" customHeight="1">
      <c r="H930" s="11"/>
      <c r="I930" s="4"/>
    </row>
    <row r="931" ht="14.25" customHeight="1">
      <c r="H931" s="11"/>
      <c r="I931" s="4"/>
    </row>
    <row r="932" ht="14.25" customHeight="1">
      <c r="H932" s="11"/>
      <c r="I932" s="4"/>
    </row>
    <row r="933" ht="14.25" customHeight="1">
      <c r="H933" s="11"/>
      <c r="I933" s="4"/>
    </row>
    <row r="934" ht="14.25" customHeight="1">
      <c r="H934" s="11"/>
      <c r="I934" s="4"/>
    </row>
    <row r="935" ht="14.25" customHeight="1">
      <c r="H935" s="11"/>
      <c r="I935" s="4"/>
    </row>
    <row r="936" ht="14.25" customHeight="1">
      <c r="H936" s="11"/>
      <c r="I936" s="4"/>
    </row>
    <row r="937" ht="14.25" customHeight="1">
      <c r="H937" s="11"/>
      <c r="I937" s="4"/>
    </row>
    <row r="938" ht="14.25" customHeight="1">
      <c r="H938" s="11"/>
      <c r="I938" s="4"/>
    </row>
    <row r="939" ht="14.25" customHeight="1">
      <c r="H939" s="11"/>
      <c r="I939" s="4"/>
    </row>
    <row r="940" ht="14.25" customHeight="1">
      <c r="H940" s="11"/>
      <c r="I940" s="4"/>
    </row>
    <row r="941" ht="14.25" customHeight="1">
      <c r="H941" s="11"/>
      <c r="I941" s="4"/>
    </row>
    <row r="942" ht="14.25" customHeight="1">
      <c r="H942" s="11"/>
      <c r="I942" s="4"/>
    </row>
    <row r="943" ht="14.25" customHeight="1">
      <c r="H943" s="11"/>
      <c r="I943" s="4"/>
    </row>
    <row r="944" ht="14.25" customHeight="1">
      <c r="H944" s="11"/>
      <c r="I944" s="4"/>
    </row>
    <row r="945" ht="14.25" customHeight="1">
      <c r="H945" s="11"/>
      <c r="I945" s="4"/>
    </row>
    <row r="946" ht="14.25" customHeight="1">
      <c r="H946" s="11"/>
      <c r="I946" s="4"/>
    </row>
    <row r="947" ht="14.25" customHeight="1">
      <c r="H947" s="11"/>
      <c r="I947" s="4"/>
    </row>
    <row r="948" ht="14.25" customHeight="1">
      <c r="H948" s="11"/>
      <c r="I948" s="4"/>
    </row>
    <row r="949" ht="14.25" customHeight="1">
      <c r="H949" s="11"/>
      <c r="I949" s="4"/>
    </row>
    <row r="950" ht="14.25" customHeight="1">
      <c r="H950" s="11"/>
      <c r="I950" s="4"/>
    </row>
    <row r="951" ht="14.25" customHeight="1">
      <c r="H951" s="11"/>
      <c r="I951" s="4"/>
    </row>
    <row r="952" ht="14.25" customHeight="1">
      <c r="H952" s="11"/>
      <c r="I952" s="4"/>
    </row>
    <row r="953" ht="14.25" customHeight="1">
      <c r="H953" s="11"/>
      <c r="I953" s="4"/>
    </row>
    <row r="954" ht="14.25" customHeight="1">
      <c r="H954" s="11"/>
      <c r="I954" s="4"/>
    </row>
    <row r="955" ht="14.25" customHeight="1">
      <c r="H955" s="11"/>
      <c r="I955" s="4"/>
    </row>
    <row r="956" ht="14.25" customHeight="1">
      <c r="H956" s="11"/>
      <c r="I956" s="4"/>
    </row>
    <row r="957" ht="14.25" customHeight="1">
      <c r="H957" s="11"/>
      <c r="I957" s="4"/>
    </row>
    <row r="958" ht="14.25" customHeight="1">
      <c r="H958" s="11"/>
      <c r="I958" s="4"/>
    </row>
    <row r="959" ht="14.25" customHeight="1">
      <c r="H959" s="11"/>
      <c r="I959" s="4"/>
    </row>
    <row r="960" ht="14.25" customHeight="1">
      <c r="H960" s="11"/>
      <c r="I960" s="4"/>
    </row>
    <row r="961" ht="14.25" customHeight="1">
      <c r="H961" s="11"/>
      <c r="I961" s="4"/>
    </row>
    <row r="962" ht="14.25" customHeight="1">
      <c r="H962" s="11"/>
      <c r="I962" s="4"/>
    </row>
    <row r="963" ht="14.25" customHeight="1">
      <c r="H963" s="11"/>
      <c r="I963" s="4"/>
    </row>
    <row r="964" ht="14.25" customHeight="1">
      <c r="H964" s="11"/>
      <c r="I964" s="4"/>
    </row>
    <row r="965" ht="14.25" customHeight="1">
      <c r="H965" s="11"/>
      <c r="I965" s="4"/>
    </row>
    <row r="966" ht="14.25" customHeight="1">
      <c r="H966" s="11"/>
      <c r="I966" s="4"/>
    </row>
    <row r="967" ht="14.25" customHeight="1">
      <c r="H967" s="11"/>
      <c r="I967" s="4"/>
    </row>
    <row r="968" ht="14.25" customHeight="1">
      <c r="H968" s="11"/>
      <c r="I968" s="4"/>
    </row>
    <row r="969" ht="14.25" customHeight="1">
      <c r="H969" s="11"/>
      <c r="I969" s="4"/>
    </row>
    <row r="970" ht="14.25" customHeight="1">
      <c r="H970" s="11"/>
      <c r="I970" s="4"/>
    </row>
    <row r="971" ht="14.25" customHeight="1">
      <c r="H971" s="11"/>
      <c r="I971" s="4"/>
    </row>
    <row r="972" ht="14.25" customHeight="1">
      <c r="H972" s="11"/>
      <c r="I972" s="4"/>
    </row>
    <row r="973" ht="14.25" customHeight="1">
      <c r="H973" s="11"/>
      <c r="I973" s="4"/>
    </row>
    <row r="974" ht="14.25" customHeight="1">
      <c r="H974" s="11"/>
      <c r="I974" s="4"/>
    </row>
    <row r="975" ht="14.25" customHeight="1">
      <c r="H975" s="11"/>
      <c r="I975" s="4"/>
    </row>
    <row r="976" ht="14.25" customHeight="1">
      <c r="H976" s="11"/>
      <c r="I976" s="4"/>
    </row>
    <row r="977" ht="14.25" customHeight="1">
      <c r="H977" s="11"/>
      <c r="I977" s="4"/>
    </row>
    <row r="978" ht="14.25" customHeight="1">
      <c r="H978" s="11"/>
      <c r="I978" s="4"/>
    </row>
    <row r="979" ht="14.25" customHeight="1">
      <c r="H979" s="11"/>
      <c r="I979" s="4"/>
    </row>
    <row r="980" ht="14.25" customHeight="1">
      <c r="H980" s="11"/>
      <c r="I980" s="4"/>
    </row>
    <row r="981" ht="14.25" customHeight="1">
      <c r="H981" s="11"/>
      <c r="I981" s="4"/>
    </row>
    <row r="982" ht="14.25" customHeight="1">
      <c r="H982" s="11"/>
      <c r="I982" s="4"/>
    </row>
    <row r="983" ht="14.25" customHeight="1">
      <c r="H983" s="11"/>
      <c r="I983" s="4"/>
    </row>
    <row r="984" ht="14.25" customHeight="1">
      <c r="H984" s="11"/>
      <c r="I984" s="4"/>
    </row>
    <row r="985" ht="14.25" customHeight="1">
      <c r="H985" s="11"/>
      <c r="I985" s="4"/>
    </row>
    <row r="986" ht="14.25" customHeight="1">
      <c r="H986" s="11"/>
      <c r="I986" s="4"/>
    </row>
    <row r="987" ht="14.25" customHeight="1">
      <c r="H987" s="11"/>
      <c r="I987" s="4"/>
    </row>
    <row r="988" ht="14.25" customHeight="1">
      <c r="H988" s="11"/>
      <c r="I988" s="4"/>
    </row>
    <row r="989" ht="14.25" customHeight="1">
      <c r="H989" s="11"/>
      <c r="I989" s="4"/>
    </row>
    <row r="990" ht="14.25" customHeight="1">
      <c r="H990" s="11"/>
      <c r="I990" s="4"/>
    </row>
    <row r="991" ht="14.25" customHeight="1">
      <c r="H991" s="11"/>
      <c r="I991" s="4"/>
    </row>
    <row r="992" ht="14.25" customHeight="1">
      <c r="H992" s="11"/>
      <c r="I992" s="4"/>
    </row>
    <row r="993" ht="14.25" customHeight="1">
      <c r="H993" s="11"/>
      <c r="I993" s="4"/>
    </row>
    <row r="994" ht="14.25" customHeight="1">
      <c r="H994" s="11"/>
      <c r="I994" s="4"/>
    </row>
    <row r="995" ht="14.25" customHeight="1">
      <c r="H995" s="11"/>
      <c r="I995" s="4"/>
    </row>
    <row r="996" ht="14.25" customHeight="1">
      <c r="H996" s="11"/>
      <c r="I996" s="4"/>
    </row>
    <row r="997" ht="14.25" customHeight="1">
      <c r="H997" s="11"/>
      <c r="I997" s="4"/>
    </row>
    <row r="998" ht="14.25" customHeight="1">
      <c r="H998" s="11"/>
      <c r="I998" s="4"/>
    </row>
    <row r="999" ht="14.25" customHeight="1">
      <c r="H999" s="11"/>
      <c r="I999" s="4"/>
    </row>
    <row r="1000" ht="14.25" customHeight="1">
      <c r="H1000" s="11"/>
      <c r="I1000" s="4"/>
    </row>
  </sheetData>
  <hyperlinks>
    <hyperlink r:id="rId2" ref="F2"/>
    <hyperlink r:id="rId3" ref="F3"/>
    <hyperlink r:id="rId4" ref="F4"/>
    <hyperlink r:id="rId5" ref="F5"/>
    <hyperlink r:id="rId6" ref="F6"/>
    <hyperlink r:id="rId7" ref="F7"/>
    <hyperlink r:id="rId8" ref="F8"/>
    <hyperlink r:id="rId9" ref="F9"/>
  </hyperlinks>
  <printOptions/>
  <pageMargins bottom="0.75" footer="0.0" header="0.0" left="0.7" right="0.7" top="0.75"/>
  <pageSetup orientation="landscape"/>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29"/>
    <col customWidth="1" min="3" max="3" width="12.29"/>
    <col customWidth="1" min="4" max="4" width="77.29"/>
    <col customWidth="1" min="5" max="24" width="8.71"/>
  </cols>
  <sheetData>
    <row r="1" ht="14.25" customHeight="1">
      <c r="A1" s="1" t="s">
        <v>0</v>
      </c>
      <c r="B1" s="1" t="s">
        <v>57</v>
      </c>
      <c r="C1" s="1" t="s">
        <v>58</v>
      </c>
      <c r="D1" s="1" t="s">
        <v>59</v>
      </c>
    </row>
    <row r="2" ht="14.25" customHeight="1">
      <c r="A2" s="4" t="s">
        <v>8</v>
      </c>
      <c r="B2" s="4" t="s">
        <v>60</v>
      </c>
      <c r="C2" s="4" t="str">
        <f t="shared" ref="C2:C27" si="1">RIGHT(B2,1)</f>
        <v>1</v>
      </c>
      <c r="D2" s="4" t="s">
        <v>61</v>
      </c>
    </row>
    <row r="3" ht="14.25" customHeight="1">
      <c r="A3" s="4" t="s">
        <v>8</v>
      </c>
      <c r="B3" s="4" t="s">
        <v>62</v>
      </c>
      <c r="C3" s="4" t="str">
        <f t="shared" si="1"/>
        <v>2</v>
      </c>
      <c r="D3" s="4" t="s">
        <v>63</v>
      </c>
    </row>
    <row r="4" ht="14.25" customHeight="1">
      <c r="A4" s="4" t="s">
        <v>8</v>
      </c>
      <c r="B4" s="4" t="s">
        <v>64</v>
      </c>
      <c r="C4" s="4" t="str">
        <f t="shared" si="1"/>
        <v>3</v>
      </c>
      <c r="D4" s="4" t="s">
        <v>65</v>
      </c>
    </row>
    <row r="5" ht="14.25" customHeight="1">
      <c r="A5" s="4" t="s">
        <v>8</v>
      </c>
      <c r="B5" s="4" t="s">
        <v>66</v>
      </c>
      <c r="C5" s="4" t="str">
        <f t="shared" si="1"/>
        <v>4</v>
      </c>
      <c r="D5" s="4" t="s">
        <v>67</v>
      </c>
    </row>
    <row r="6" ht="14.25" customHeight="1">
      <c r="A6" s="4" t="s">
        <v>8</v>
      </c>
      <c r="B6" s="4" t="s">
        <v>68</v>
      </c>
      <c r="C6" s="4" t="str">
        <f t="shared" si="1"/>
        <v>5</v>
      </c>
      <c r="D6" s="4" t="s">
        <v>69</v>
      </c>
    </row>
    <row r="7" ht="14.25" customHeight="1">
      <c r="A7" s="4" t="s">
        <v>14</v>
      </c>
      <c r="B7" s="4" t="s">
        <v>70</v>
      </c>
      <c r="C7" s="4" t="str">
        <f t="shared" si="1"/>
        <v>1</v>
      </c>
      <c r="D7" s="4" t="s">
        <v>71</v>
      </c>
    </row>
    <row r="8" ht="14.25" customHeight="1">
      <c r="A8" s="4" t="s">
        <v>14</v>
      </c>
      <c r="B8" s="4" t="s">
        <v>72</v>
      </c>
      <c r="C8" s="4" t="str">
        <f t="shared" si="1"/>
        <v>2</v>
      </c>
      <c r="D8" s="4" t="s">
        <v>73</v>
      </c>
    </row>
    <row r="9" ht="14.25" customHeight="1">
      <c r="A9" s="4" t="s">
        <v>14</v>
      </c>
      <c r="B9" s="4" t="s">
        <v>74</v>
      </c>
      <c r="C9" s="4" t="str">
        <f t="shared" si="1"/>
        <v>3</v>
      </c>
      <c r="D9" s="4" t="s">
        <v>75</v>
      </c>
    </row>
    <row r="10" ht="14.25" customHeight="1">
      <c r="A10" s="4" t="s">
        <v>14</v>
      </c>
      <c r="B10" s="4" t="s">
        <v>76</v>
      </c>
      <c r="C10" s="4" t="str">
        <f t="shared" si="1"/>
        <v>4</v>
      </c>
      <c r="D10" s="4" t="s">
        <v>77</v>
      </c>
    </row>
    <row r="11" ht="14.25" customHeight="1">
      <c r="A11" s="4" t="s">
        <v>19</v>
      </c>
      <c r="B11" s="4" t="s">
        <v>78</v>
      </c>
      <c r="C11" s="4" t="str">
        <f t="shared" si="1"/>
        <v>1</v>
      </c>
      <c r="D11" s="4" t="s">
        <v>79</v>
      </c>
    </row>
    <row r="12" ht="14.25" customHeight="1">
      <c r="A12" s="4" t="s">
        <v>19</v>
      </c>
      <c r="B12" s="4" t="s">
        <v>80</v>
      </c>
      <c r="C12" s="4" t="str">
        <f t="shared" si="1"/>
        <v>2</v>
      </c>
      <c r="D12" s="4" t="s">
        <v>81</v>
      </c>
    </row>
    <row r="13" ht="14.25" customHeight="1">
      <c r="A13" s="4" t="s">
        <v>26</v>
      </c>
      <c r="B13" s="4" t="s">
        <v>82</v>
      </c>
      <c r="C13" s="4" t="str">
        <f t="shared" si="1"/>
        <v>1</v>
      </c>
      <c r="D13" s="4" t="s">
        <v>83</v>
      </c>
    </row>
    <row r="14" ht="14.25" customHeight="1">
      <c r="A14" s="4" t="s">
        <v>26</v>
      </c>
      <c r="B14" s="4" t="s">
        <v>84</v>
      </c>
      <c r="C14" s="4" t="str">
        <f t="shared" si="1"/>
        <v>2</v>
      </c>
      <c r="D14" s="4" t="s">
        <v>85</v>
      </c>
    </row>
    <row r="15" ht="14.25" customHeight="1">
      <c r="A15" s="4" t="s">
        <v>33</v>
      </c>
      <c r="B15" s="4" t="s">
        <v>86</v>
      </c>
      <c r="C15" s="4" t="str">
        <f t="shared" si="1"/>
        <v>1</v>
      </c>
      <c r="D15" s="4" t="s">
        <v>87</v>
      </c>
    </row>
    <row r="16" ht="14.25" customHeight="1">
      <c r="A16" s="4" t="s">
        <v>33</v>
      </c>
      <c r="B16" s="4" t="s">
        <v>88</v>
      </c>
      <c r="C16" s="4" t="str">
        <f t="shared" si="1"/>
        <v>2</v>
      </c>
      <c r="D16" s="4" t="s">
        <v>89</v>
      </c>
    </row>
    <row r="17" ht="14.25" customHeight="1">
      <c r="A17" s="4" t="s">
        <v>33</v>
      </c>
      <c r="B17" s="4" t="s">
        <v>90</v>
      </c>
      <c r="C17" s="4" t="str">
        <f t="shared" si="1"/>
        <v>3</v>
      </c>
      <c r="D17" s="4" t="s">
        <v>91</v>
      </c>
    </row>
    <row r="18" ht="14.25" customHeight="1">
      <c r="A18" s="4" t="s">
        <v>38</v>
      </c>
      <c r="B18" s="4" t="s">
        <v>92</v>
      </c>
      <c r="C18" s="4" t="str">
        <f t="shared" si="1"/>
        <v>1</v>
      </c>
      <c r="D18" s="4" t="s">
        <v>93</v>
      </c>
    </row>
    <row r="19" ht="14.25" customHeight="1">
      <c r="A19" s="4" t="s">
        <v>38</v>
      </c>
      <c r="B19" s="4" t="s">
        <v>94</v>
      </c>
      <c r="C19" s="4" t="str">
        <f t="shared" si="1"/>
        <v>2</v>
      </c>
      <c r="D19" s="4" t="s">
        <v>95</v>
      </c>
    </row>
    <row r="20" ht="14.25" customHeight="1">
      <c r="A20" s="4" t="s">
        <v>38</v>
      </c>
      <c r="B20" s="4" t="s">
        <v>96</v>
      </c>
      <c r="C20" s="4" t="str">
        <f t="shared" si="1"/>
        <v>3</v>
      </c>
      <c r="D20" s="4" t="s">
        <v>97</v>
      </c>
    </row>
    <row r="21" ht="14.25" customHeight="1">
      <c r="A21" s="4" t="s">
        <v>38</v>
      </c>
      <c r="B21" s="4" t="s">
        <v>98</v>
      </c>
      <c r="C21" s="4" t="str">
        <f t="shared" si="1"/>
        <v>4</v>
      </c>
      <c r="D21" s="4" t="s">
        <v>99</v>
      </c>
    </row>
    <row r="22" ht="14.25" customHeight="1">
      <c r="A22" s="4" t="s">
        <v>43</v>
      </c>
      <c r="B22" s="4" t="s">
        <v>100</v>
      </c>
      <c r="C22" s="4" t="str">
        <f t="shared" si="1"/>
        <v>1</v>
      </c>
      <c r="D22" s="4" t="s">
        <v>101</v>
      </c>
    </row>
    <row r="23" ht="14.25" customHeight="1">
      <c r="A23" s="4" t="s">
        <v>43</v>
      </c>
      <c r="B23" s="4" t="s">
        <v>102</v>
      </c>
      <c r="C23" s="4" t="str">
        <f t="shared" si="1"/>
        <v>2</v>
      </c>
      <c r="D23" s="4" t="s">
        <v>103</v>
      </c>
    </row>
    <row r="24" ht="14.25" customHeight="1">
      <c r="A24" s="4" t="s">
        <v>43</v>
      </c>
      <c r="B24" s="4" t="s">
        <v>104</v>
      </c>
      <c r="C24" s="4" t="str">
        <f t="shared" si="1"/>
        <v>3</v>
      </c>
      <c r="D24" s="4" t="s">
        <v>105</v>
      </c>
    </row>
    <row r="25" ht="14.25" customHeight="1">
      <c r="A25" s="4" t="s">
        <v>50</v>
      </c>
      <c r="B25" s="4" t="s">
        <v>106</v>
      </c>
      <c r="C25" s="4" t="str">
        <f t="shared" si="1"/>
        <v>1</v>
      </c>
      <c r="D25" s="4" t="s">
        <v>107</v>
      </c>
    </row>
    <row r="26" ht="14.25" customHeight="1">
      <c r="A26" s="4" t="s">
        <v>50</v>
      </c>
      <c r="B26" s="4" t="s">
        <v>108</v>
      </c>
      <c r="C26" s="4" t="str">
        <f t="shared" si="1"/>
        <v>2</v>
      </c>
      <c r="D26" s="4" t="s">
        <v>109</v>
      </c>
    </row>
    <row r="27" ht="14.25" customHeight="1">
      <c r="A27" s="4" t="s">
        <v>50</v>
      </c>
      <c r="B27" s="4" t="s">
        <v>110</v>
      </c>
      <c r="C27" s="4" t="str">
        <f t="shared" si="1"/>
        <v>3</v>
      </c>
      <c r="D27" s="4" t="s">
        <v>111</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18.29"/>
    <col customWidth="1" min="4" max="4" width="35.43"/>
    <col customWidth="1" min="5" max="6" width="18.29"/>
    <col customWidth="1" min="7" max="28" width="8.71"/>
  </cols>
  <sheetData>
    <row r="1" ht="14.25" customHeight="1">
      <c r="A1" s="1" t="s">
        <v>0</v>
      </c>
      <c r="B1" s="1" t="s">
        <v>112</v>
      </c>
      <c r="C1" s="1" t="s">
        <v>113</v>
      </c>
      <c r="D1" s="1" t="s">
        <v>114</v>
      </c>
      <c r="E1" s="1" t="s">
        <v>115</v>
      </c>
      <c r="F1" s="1" t="s">
        <v>116</v>
      </c>
      <c r="G1" s="5" t="s">
        <v>117</v>
      </c>
    </row>
    <row r="2" ht="14.25" customHeight="1">
      <c r="A2" s="12" t="s">
        <v>8</v>
      </c>
      <c r="B2" s="12" t="s">
        <v>118</v>
      </c>
      <c r="C2" s="13">
        <v>1.0</v>
      </c>
      <c r="D2" s="13" t="s">
        <v>119</v>
      </c>
      <c r="E2" s="13" t="s">
        <v>120</v>
      </c>
      <c r="F2" s="12" t="s">
        <v>121</v>
      </c>
      <c r="G2" s="13">
        <v>1.0</v>
      </c>
      <c r="H2" s="12"/>
      <c r="I2" s="12"/>
      <c r="J2" s="12"/>
      <c r="K2" s="12"/>
      <c r="L2" s="12"/>
      <c r="M2" s="12"/>
      <c r="N2" s="12"/>
      <c r="O2" s="12"/>
      <c r="P2" s="12"/>
      <c r="Q2" s="12"/>
      <c r="R2" s="12"/>
      <c r="S2" s="12"/>
      <c r="T2" s="12"/>
      <c r="U2" s="12"/>
      <c r="V2" s="12"/>
      <c r="W2" s="12"/>
      <c r="X2" s="12"/>
      <c r="Y2" s="12"/>
      <c r="Z2" s="12"/>
      <c r="AA2" s="12"/>
      <c r="AB2" s="12"/>
    </row>
    <row r="3" ht="14.25" customHeight="1">
      <c r="A3" s="12" t="s">
        <v>8</v>
      </c>
      <c r="B3" s="12" t="s">
        <v>122</v>
      </c>
      <c r="C3" s="13">
        <v>1.0</v>
      </c>
      <c r="D3" s="13" t="s">
        <v>123</v>
      </c>
      <c r="E3" s="13" t="s">
        <v>124</v>
      </c>
      <c r="F3" s="12" t="s">
        <v>125</v>
      </c>
      <c r="G3" s="13">
        <v>2.0</v>
      </c>
      <c r="H3" s="12"/>
      <c r="I3" s="12"/>
      <c r="J3" s="12"/>
      <c r="K3" s="12"/>
      <c r="L3" s="12"/>
      <c r="M3" s="12"/>
      <c r="N3" s="12"/>
      <c r="O3" s="12"/>
      <c r="P3" s="12"/>
      <c r="Q3" s="12"/>
      <c r="R3" s="12"/>
      <c r="S3" s="12"/>
      <c r="T3" s="12"/>
      <c r="U3" s="12"/>
      <c r="V3" s="12"/>
      <c r="W3" s="12"/>
      <c r="X3" s="12"/>
      <c r="Y3" s="12"/>
      <c r="Z3" s="12"/>
      <c r="AA3" s="12"/>
      <c r="AB3" s="12"/>
    </row>
    <row r="4" ht="14.25" customHeight="1">
      <c r="A4" s="12" t="s">
        <v>8</v>
      </c>
      <c r="B4" s="12" t="s">
        <v>126</v>
      </c>
      <c r="C4" s="13">
        <v>1.0</v>
      </c>
      <c r="D4" s="13" t="s">
        <v>127</v>
      </c>
      <c r="E4" s="13" t="s">
        <v>128</v>
      </c>
      <c r="F4" s="12" t="s">
        <v>129</v>
      </c>
      <c r="G4" s="13">
        <v>3.0</v>
      </c>
      <c r="H4" s="12"/>
      <c r="I4" s="12"/>
      <c r="J4" s="12"/>
      <c r="K4" s="12"/>
      <c r="L4" s="12"/>
      <c r="M4" s="12"/>
      <c r="N4" s="12"/>
      <c r="O4" s="12"/>
      <c r="P4" s="12"/>
      <c r="Q4" s="12"/>
      <c r="R4" s="12"/>
      <c r="S4" s="12"/>
      <c r="T4" s="12"/>
      <c r="U4" s="12"/>
      <c r="V4" s="12"/>
      <c r="W4" s="12"/>
      <c r="X4" s="12"/>
      <c r="Y4" s="12"/>
      <c r="Z4" s="12"/>
      <c r="AA4" s="12"/>
      <c r="AB4" s="12"/>
    </row>
    <row r="5" ht="14.25" customHeight="1">
      <c r="A5" s="12" t="s">
        <v>8</v>
      </c>
      <c r="B5" s="12" t="s">
        <v>130</v>
      </c>
      <c r="C5" s="13">
        <v>1.0</v>
      </c>
      <c r="D5" s="13" t="s">
        <v>131</v>
      </c>
      <c r="E5" s="13" t="s">
        <v>132</v>
      </c>
      <c r="F5" s="12" t="s">
        <v>133</v>
      </c>
      <c r="G5" s="13">
        <v>4.0</v>
      </c>
      <c r="H5" s="12"/>
      <c r="I5" s="12"/>
      <c r="J5" s="12"/>
      <c r="K5" s="12"/>
      <c r="L5" s="12"/>
      <c r="M5" s="12"/>
      <c r="N5" s="12"/>
      <c r="O5" s="12"/>
      <c r="P5" s="12"/>
      <c r="Q5" s="12"/>
      <c r="R5" s="12"/>
      <c r="S5" s="12"/>
      <c r="T5" s="12"/>
      <c r="U5" s="12"/>
      <c r="V5" s="12"/>
      <c r="W5" s="12"/>
      <c r="X5" s="12"/>
      <c r="Y5" s="12"/>
      <c r="Z5" s="12"/>
      <c r="AA5" s="12"/>
      <c r="AB5" s="12"/>
    </row>
    <row r="6" ht="14.25" customHeight="1">
      <c r="A6" s="12" t="s">
        <v>8</v>
      </c>
      <c r="B6" s="12" t="s">
        <v>134</v>
      </c>
      <c r="C6" s="12"/>
      <c r="D6" s="13" t="s">
        <v>135</v>
      </c>
      <c r="E6" s="12"/>
      <c r="F6" s="12" t="s">
        <v>136</v>
      </c>
      <c r="G6" s="12"/>
      <c r="H6" s="12"/>
      <c r="I6" s="12"/>
      <c r="J6" s="12"/>
      <c r="K6" s="12"/>
      <c r="L6" s="12"/>
      <c r="M6" s="12"/>
      <c r="N6" s="12"/>
      <c r="O6" s="12"/>
      <c r="P6" s="12"/>
      <c r="Q6" s="12"/>
      <c r="R6" s="12"/>
      <c r="S6" s="12"/>
      <c r="T6" s="12"/>
      <c r="U6" s="12"/>
      <c r="V6" s="12"/>
      <c r="W6" s="12"/>
      <c r="X6" s="12"/>
      <c r="Y6" s="12"/>
      <c r="Z6" s="12"/>
      <c r="AA6" s="12"/>
      <c r="AB6" s="12"/>
    </row>
    <row r="7" ht="14.25" customHeight="1">
      <c r="A7" s="12" t="s">
        <v>8</v>
      </c>
      <c r="B7" s="12" t="s">
        <v>137</v>
      </c>
      <c r="C7" s="13">
        <v>1.0</v>
      </c>
      <c r="D7" s="13" t="s">
        <v>138</v>
      </c>
      <c r="E7" s="13" t="s">
        <v>139</v>
      </c>
      <c r="F7" s="12" t="s">
        <v>140</v>
      </c>
      <c r="G7" s="13">
        <v>5.0</v>
      </c>
      <c r="H7" s="12"/>
      <c r="I7" s="12"/>
      <c r="J7" s="12"/>
      <c r="K7" s="12"/>
      <c r="L7" s="12"/>
      <c r="M7" s="12"/>
      <c r="N7" s="12"/>
      <c r="O7" s="12"/>
      <c r="P7" s="12"/>
      <c r="Q7" s="12"/>
      <c r="R7" s="12"/>
      <c r="S7" s="12"/>
      <c r="T7" s="12"/>
      <c r="U7" s="12"/>
      <c r="V7" s="12"/>
      <c r="W7" s="12"/>
      <c r="X7" s="12"/>
      <c r="Y7" s="12"/>
      <c r="Z7" s="12"/>
      <c r="AA7" s="12"/>
      <c r="AB7" s="12"/>
    </row>
    <row r="8" ht="14.25" customHeight="1">
      <c r="A8" s="12" t="s">
        <v>8</v>
      </c>
      <c r="B8" s="12" t="s">
        <v>141</v>
      </c>
      <c r="C8" s="13">
        <v>1.0</v>
      </c>
      <c r="D8" s="13" t="s">
        <v>142</v>
      </c>
      <c r="E8" s="13" t="s">
        <v>143</v>
      </c>
      <c r="F8" s="12" t="s">
        <v>144</v>
      </c>
      <c r="G8" s="13">
        <v>6.0</v>
      </c>
      <c r="H8" s="12"/>
      <c r="I8" s="12"/>
      <c r="J8" s="12"/>
      <c r="K8" s="12"/>
      <c r="L8" s="12"/>
      <c r="M8" s="12"/>
      <c r="N8" s="12"/>
      <c r="O8" s="12"/>
      <c r="P8" s="12"/>
      <c r="Q8" s="12"/>
      <c r="R8" s="12"/>
      <c r="S8" s="12"/>
      <c r="T8" s="12"/>
      <c r="U8" s="12"/>
      <c r="V8" s="12"/>
      <c r="W8" s="12"/>
      <c r="X8" s="12"/>
      <c r="Y8" s="12"/>
      <c r="Z8" s="12"/>
      <c r="AA8" s="12"/>
      <c r="AB8" s="12"/>
    </row>
    <row r="9" ht="14.25" customHeight="1">
      <c r="A9" s="12" t="s">
        <v>8</v>
      </c>
      <c r="B9" s="12" t="s">
        <v>145</v>
      </c>
      <c r="C9" s="13">
        <v>1.0</v>
      </c>
      <c r="D9" s="13" t="s">
        <v>146</v>
      </c>
      <c r="E9" s="13" t="s">
        <v>147</v>
      </c>
      <c r="F9" s="12" t="s">
        <v>148</v>
      </c>
      <c r="G9" s="13">
        <v>7.0</v>
      </c>
      <c r="H9" s="12"/>
      <c r="I9" s="12"/>
      <c r="J9" s="12"/>
      <c r="K9" s="12"/>
      <c r="L9" s="12"/>
      <c r="M9" s="12"/>
      <c r="N9" s="12"/>
      <c r="O9" s="12"/>
      <c r="P9" s="12"/>
      <c r="Q9" s="12"/>
      <c r="R9" s="12"/>
      <c r="S9" s="12"/>
      <c r="T9" s="12"/>
      <c r="U9" s="12"/>
      <c r="V9" s="12"/>
      <c r="W9" s="12"/>
      <c r="X9" s="12"/>
      <c r="Y9" s="12"/>
      <c r="Z9" s="12"/>
      <c r="AA9" s="12"/>
      <c r="AB9" s="12"/>
    </row>
    <row r="10" ht="14.25" customHeight="1">
      <c r="A10" s="12" t="s">
        <v>8</v>
      </c>
      <c r="B10" s="12" t="s">
        <v>149</v>
      </c>
      <c r="C10" s="13">
        <v>1.0</v>
      </c>
      <c r="D10" s="13" t="s">
        <v>150</v>
      </c>
      <c r="E10" s="13" t="s">
        <v>151</v>
      </c>
      <c r="F10" s="12" t="s">
        <v>152</v>
      </c>
      <c r="G10" s="13">
        <v>8.0</v>
      </c>
      <c r="H10" s="12"/>
      <c r="I10" s="12"/>
      <c r="J10" s="12"/>
      <c r="K10" s="12"/>
      <c r="L10" s="12"/>
      <c r="M10" s="12"/>
      <c r="N10" s="12"/>
      <c r="O10" s="12"/>
      <c r="P10" s="12"/>
      <c r="Q10" s="12"/>
      <c r="R10" s="12"/>
      <c r="S10" s="12"/>
      <c r="T10" s="12"/>
      <c r="U10" s="12"/>
      <c r="V10" s="12"/>
      <c r="W10" s="12"/>
      <c r="X10" s="12"/>
      <c r="Y10" s="12"/>
      <c r="Z10" s="12"/>
      <c r="AA10" s="12"/>
      <c r="AB10" s="12"/>
    </row>
    <row r="11" ht="14.25" customHeight="1">
      <c r="A11" s="12" t="s">
        <v>8</v>
      </c>
      <c r="B11" s="12" t="s">
        <v>153</v>
      </c>
      <c r="C11" s="12"/>
      <c r="D11" s="13" t="s">
        <v>154</v>
      </c>
      <c r="E11" s="12"/>
      <c r="F11" s="12" t="s">
        <v>155</v>
      </c>
      <c r="G11" s="12"/>
      <c r="H11" s="12"/>
      <c r="I11" s="12"/>
      <c r="J11" s="12"/>
      <c r="K11" s="12"/>
      <c r="L11" s="12"/>
      <c r="M11" s="12"/>
      <c r="N11" s="12"/>
      <c r="O11" s="12"/>
      <c r="P11" s="12"/>
      <c r="Q11" s="12"/>
      <c r="R11" s="12"/>
      <c r="S11" s="12"/>
      <c r="T11" s="12"/>
      <c r="U11" s="12"/>
      <c r="V11" s="12"/>
      <c r="W11" s="12"/>
      <c r="X11" s="12"/>
      <c r="Y11" s="12"/>
      <c r="Z11" s="12"/>
      <c r="AA11" s="12"/>
      <c r="AB11" s="12"/>
    </row>
    <row r="12" ht="14.25" customHeight="1">
      <c r="A12" s="12" t="s">
        <v>8</v>
      </c>
      <c r="B12" s="12" t="s">
        <v>156</v>
      </c>
      <c r="C12" s="13">
        <v>1.0</v>
      </c>
      <c r="D12" s="13" t="s">
        <v>157</v>
      </c>
      <c r="E12" s="13" t="s">
        <v>158</v>
      </c>
      <c r="F12" s="12" t="s">
        <v>159</v>
      </c>
      <c r="G12" s="13">
        <v>9.0</v>
      </c>
      <c r="H12" s="12"/>
      <c r="I12" s="12"/>
      <c r="J12" s="12"/>
      <c r="K12" s="12"/>
      <c r="L12" s="12"/>
      <c r="M12" s="12"/>
      <c r="N12" s="12"/>
      <c r="O12" s="12"/>
      <c r="P12" s="12"/>
      <c r="Q12" s="12"/>
      <c r="R12" s="12"/>
      <c r="S12" s="12"/>
      <c r="T12" s="12"/>
      <c r="U12" s="12"/>
      <c r="V12" s="12"/>
      <c r="W12" s="12"/>
      <c r="X12" s="12"/>
      <c r="Y12" s="12"/>
      <c r="Z12" s="12"/>
      <c r="AA12" s="12"/>
      <c r="AB12" s="12"/>
    </row>
    <row r="13" ht="14.25" customHeight="1">
      <c r="A13" s="12" t="s">
        <v>8</v>
      </c>
      <c r="B13" s="12" t="s">
        <v>160</v>
      </c>
      <c r="C13" s="13">
        <v>1.0</v>
      </c>
      <c r="D13" s="13" t="s">
        <v>161</v>
      </c>
      <c r="E13" s="13" t="s">
        <v>162</v>
      </c>
      <c r="F13" s="12" t="s">
        <v>163</v>
      </c>
      <c r="G13" s="13">
        <v>10.0</v>
      </c>
      <c r="H13" s="12"/>
      <c r="I13" s="12"/>
      <c r="J13" s="12"/>
      <c r="K13" s="12"/>
      <c r="L13" s="12"/>
      <c r="M13" s="12"/>
      <c r="N13" s="12"/>
      <c r="O13" s="12"/>
      <c r="P13" s="12"/>
      <c r="Q13" s="12"/>
      <c r="R13" s="12"/>
      <c r="S13" s="12"/>
      <c r="T13" s="12"/>
      <c r="U13" s="12"/>
      <c r="V13" s="12"/>
      <c r="W13" s="12"/>
      <c r="X13" s="12"/>
      <c r="Y13" s="12"/>
      <c r="Z13" s="12"/>
      <c r="AA13" s="12"/>
      <c r="AB13" s="12"/>
    </row>
    <row r="14" ht="14.25" customHeight="1">
      <c r="A14" s="12" t="s">
        <v>8</v>
      </c>
      <c r="B14" s="12" t="s">
        <v>164</v>
      </c>
      <c r="C14" s="13">
        <v>1.0</v>
      </c>
      <c r="D14" s="13" t="s">
        <v>165</v>
      </c>
      <c r="E14" s="13" t="s">
        <v>166</v>
      </c>
      <c r="F14" s="12" t="s">
        <v>167</v>
      </c>
      <c r="G14" s="13">
        <v>11.0</v>
      </c>
      <c r="H14" s="12"/>
      <c r="I14" s="12"/>
      <c r="J14" s="12"/>
      <c r="K14" s="12"/>
      <c r="L14" s="12"/>
      <c r="M14" s="12"/>
      <c r="N14" s="12"/>
      <c r="O14" s="12"/>
      <c r="P14" s="12"/>
      <c r="Q14" s="12"/>
      <c r="R14" s="12"/>
      <c r="S14" s="12"/>
      <c r="T14" s="12"/>
      <c r="U14" s="12"/>
      <c r="V14" s="12"/>
      <c r="W14" s="12"/>
      <c r="X14" s="12"/>
      <c r="Y14" s="12"/>
      <c r="Z14" s="12"/>
      <c r="AA14" s="12"/>
      <c r="AB14" s="12"/>
    </row>
    <row r="15" ht="14.25" customHeight="1">
      <c r="A15" s="12" t="s">
        <v>8</v>
      </c>
      <c r="B15" s="12" t="s">
        <v>168</v>
      </c>
      <c r="C15" s="13">
        <v>1.0</v>
      </c>
      <c r="D15" s="13" t="s">
        <v>169</v>
      </c>
      <c r="E15" s="13" t="s">
        <v>170</v>
      </c>
      <c r="F15" s="12" t="s">
        <v>171</v>
      </c>
      <c r="G15" s="13">
        <v>12.0</v>
      </c>
      <c r="H15" s="12"/>
      <c r="I15" s="12"/>
      <c r="J15" s="12"/>
      <c r="K15" s="12"/>
      <c r="L15" s="12"/>
      <c r="M15" s="12"/>
      <c r="N15" s="12"/>
      <c r="O15" s="12"/>
      <c r="P15" s="12"/>
      <c r="Q15" s="12"/>
      <c r="R15" s="12"/>
      <c r="S15" s="12"/>
      <c r="T15" s="12"/>
      <c r="U15" s="12"/>
      <c r="V15" s="12"/>
      <c r="W15" s="12"/>
      <c r="X15" s="12"/>
      <c r="Y15" s="12"/>
      <c r="Z15" s="12"/>
      <c r="AA15" s="12"/>
      <c r="AB15" s="12"/>
    </row>
    <row r="16" ht="14.25" customHeight="1">
      <c r="A16" s="12" t="s">
        <v>8</v>
      </c>
      <c r="B16" s="12" t="s">
        <v>172</v>
      </c>
      <c r="C16" s="13">
        <v>1.0</v>
      </c>
      <c r="D16" s="13" t="s">
        <v>173</v>
      </c>
      <c r="E16" s="13" t="s">
        <v>174</v>
      </c>
      <c r="F16" s="12" t="s">
        <v>175</v>
      </c>
      <c r="G16" s="13">
        <v>13.0</v>
      </c>
      <c r="H16" s="12"/>
      <c r="I16" s="12"/>
      <c r="J16" s="12"/>
      <c r="K16" s="12"/>
      <c r="L16" s="12"/>
      <c r="M16" s="12"/>
      <c r="N16" s="12"/>
      <c r="O16" s="12"/>
      <c r="P16" s="12"/>
      <c r="Q16" s="12"/>
      <c r="R16" s="12"/>
      <c r="S16" s="12"/>
      <c r="T16" s="12"/>
      <c r="U16" s="12"/>
      <c r="V16" s="12"/>
      <c r="W16" s="12"/>
      <c r="X16" s="12"/>
      <c r="Y16" s="12"/>
      <c r="Z16" s="12"/>
      <c r="AA16" s="12"/>
      <c r="AB16" s="12"/>
    </row>
    <row r="17" ht="14.25" customHeight="1">
      <c r="A17" s="12" t="s">
        <v>8</v>
      </c>
      <c r="B17" s="12" t="s">
        <v>176</v>
      </c>
      <c r="C17" s="12"/>
      <c r="D17" s="13" t="s">
        <v>177</v>
      </c>
      <c r="E17" s="12"/>
      <c r="F17" s="12" t="s">
        <v>178</v>
      </c>
      <c r="G17" s="12"/>
      <c r="H17" s="12"/>
      <c r="I17" s="12"/>
      <c r="J17" s="12"/>
      <c r="K17" s="12"/>
      <c r="L17" s="12"/>
      <c r="M17" s="12"/>
      <c r="N17" s="12"/>
      <c r="O17" s="12"/>
      <c r="P17" s="12"/>
      <c r="Q17" s="12"/>
      <c r="R17" s="12"/>
      <c r="S17" s="12"/>
      <c r="T17" s="12"/>
      <c r="U17" s="12"/>
      <c r="V17" s="12"/>
      <c r="W17" s="12"/>
      <c r="X17" s="12"/>
      <c r="Y17" s="12"/>
      <c r="Z17" s="12"/>
      <c r="AA17" s="12"/>
      <c r="AB17" s="12"/>
    </row>
    <row r="18" ht="14.25" customHeight="1">
      <c r="A18" s="12" t="s">
        <v>8</v>
      </c>
      <c r="B18" s="12" t="s">
        <v>179</v>
      </c>
      <c r="C18" s="12"/>
      <c r="D18" s="13" t="s">
        <v>180</v>
      </c>
      <c r="E18" s="12"/>
      <c r="F18" s="12" t="s">
        <v>181</v>
      </c>
      <c r="G18" s="12"/>
      <c r="H18" s="12"/>
      <c r="I18" s="12"/>
      <c r="J18" s="12"/>
      <c r="K18" s="12"/>
      <c r="L18" s="12"/>
      <c r="M18" s="12"/>
      <c r="N18" s="12"/>
      <c r="O18" s="12"/>
      <c r="P18" s="12"/>
      <c r="Q18" s="12"/>
      <c r="R18" s="12"/>
      <c r="S18" s="12"/>
      <c r="T18" s="12"/>
      <c r="U18" s="12"/>
      <c r="V18" s="12"/>
      <c r="W18" s="12"/>
      <c r="X18" s="12"/>
      <c r="Y18" s="12"/>
      <c r="Z18" s="12"/>
      <c r="AA18" s="12"/>
      <c r="AB18" s="12"/>
    </row>
    <row r="19" ht="14.25" customHeight="1">
      <c r="A19" s="4" t="s">
        <v>14</v>
      </c>
      <c r="B19" s="4" t="s">
        <v>182</v>
      </c>
      <c r="D19" s="5" t="s">
        <v>183</v>
      </c>
      <c r="E19" s="5"/>
      <c r="F19" s="5" t="s">
        <v>184</v>
      </c>
    </row>
    <row r="20" ht="14.25" customHeight="1">
      <c r="A20" s="4" t="s">
        <v>14</v>
      </c>
      <c r="B20" s="4" t="s">
        <v>185</v>
      </c>
      <c r="D20" s="5" t="s">
        <v>186</v>
      </c>
      <c r="E20" s="5"/>
      <c r="F20" s="5" t="s">
        <v>187</v>
      </c>
    </row>
    <row r="21" ht="14.25" customHeight="1">
      <c r="A21" s="4" t="s">
        <v>14</v>
      </c>
      <c r="B21" s="4" t="s">
        <v>188</v>
      </c>
      <c r="D21" s="5" t="s">
        <v>189</v>
      </c>
      <c r="E21" s="5"/>
      <c r="F21" s="5" t="s">
        <v>190</v>
      </c>
    </row>
    <row r="22" ht="14.25" customHeight="1">
      <c r="A22" s="4" t="s">
        <v>14</v>
      </c>
      <c r="B22" s="4" t="s">
        <v>191</v>
      </c>
      <c r="D22" s="5" t="s">
        <v>192</v>
      </c>
      <c r="E22" s="5"/>
      <c r="F22" s="5" t="s">
        <v>193</v>
      </c>
    </row>
    <row r="23" ht="14.25" customHeight="1">
      <c r="A23" s="4" t="s">
        <v>14</v>
      </c>
      <c r="B23" s="4" t="s">
        <v>194</v>
      </c>
      <c r="D23" s="5" t="s">
        <v>195</v>
      </c>
      <c r="E23" s="5"/>
      <c r="F23" s="5" t="s">
        <v>196</v>
      </c>
    </row>
    <row r="24" ht="14.25" customHeight="1">
      <c r="A24" s="4" t="s">
        <v>14</v>
      </c>
      <c r="B24" s="4" t="s">
        <v>197</v>
      </c>
      <c r="D24" s="5" t="s">
        <v>198</v>
      </c>
      <c r="E24" s="5"/>
      <c r="F24" s="5" t="s">
        <v>199</v>
      </c>
    </row>
    <row r="25" ht="14.25" customHeight="1">
      <c r="A25" s="4" t="s">
        <v>14</v>
      </c>
      <c r="B25" s="4" t="s">
        <v>200</v>
      </c>
      <c r="D25" s="5" t="s">
        <v>201</v>
      </c>
      <c r="E25" s="5"/>
      <c r="F25" s="5" t="s">
        <v>202</v>
      </c>
    </row>
    <row r="26" ht="14.25" customHeight="1">
      <c r="A26" s="4" t="s">
        <v>14</v>
      </c>
      <c r="B26" s="4" t="s">
        <v>203</v>
      </c>
      <c r="D26" s="5" t="s">
        <v>204</v>
      </c>
      <c r="E26" s="5"/>
      <c r="F26" s="5" t="s">
        <v>205</v>
      </c>
    </row>
    <row r="27" ht="14.25" customHeight="1">
      <c r="A27" s="12" t="s">
        <v>19</v>
      </c>
      <c r="B27" s="12" t="s">
        <v>206</v>
      </c>
      <c r="C27" s="12"/>
      <c r="D27" s="13" t="s">
        <v>207</v>
      </c>
      <c r="E27" s="13"/>
      <c r="F27" s="13" t="s">
        <v>208</v>
      </c>
      <c r="G27" s="12"/>
      <c r="H27" s="12"/>
      <c r="I27" s="12"/>
      <c r="J27" s="12"/>
      <c r="K27" s="12"/>
      <c r="L27" s="12"/>
      <c r="M27" s="12"/>
      <c r="N27" s="12"/>
      <c r="O27" s="12"/>
      <c r="P27" s="12"/>
      <c r="Q27" s="12"/>
      <c r="R27" s="12"/>
      <c r="S27" s="12"/>
      <c r="T27" s="12"/>
      <c r="U27" s="12"/>
      <c r="V27" s="12"/>
      <c r="W27" s="12"/>
      <c r="X27" s="12"/>
      <c r="Y27" s="12"/>
      <c r="Z27" s="12"/>
      <c r="AA27" s="12"/>
      <c r="AB27" s="12"/>
    </row>
    <row r="28" ht="14.25" customHeight="1">
      <c r="A28" s="12" t="s">
        <v>19</v>
      </c>
      <c r="B28" s="12" t="s">
        <v>209</v>
      </c>
      <c r="C28" s="12"/>
      <c r="D28" s="13" t="s">
        <v>210</v>
      </c>
      <c r="E28" s="13"/>
      <c r="F28" s="13" t="s">
        <v>211</v>
      </c>
      <c r="G28" s="12"/>
      <c r="H28" s="12"/>
      <c r="I28" s="12"/>
      <c r="J28" s="12"/>
      <c r="K28" s="12"/>
      <c r="L28" s="12"/>
      <c r="M28" s="12"/>
      <c r="N28" s="12"/>
      <c r="O28" s="12"/>
      <c r="P28" s="12"/>
      <c r="Q28" s="12"/>
      <c r="R28" s="12"/>
      <c r="S28" s="12"/>
      <c r="T28" s="12"/>
      <c r="U28" s="12"/>
      <c r="V28" s="12"/>
      <c r="W28" s="12"/>
      <c r="X28" s="12"/>
      <c r="Y28" s="12"/>
      <c r="Z28" s="12"/>
      <c r="AA28" s="12"/>
      <c r="AB28" s="12"/>
    </row>
    <row r="29" ht="14.25" customHeight="1">
      <c r="A29" s="12" t="s">
        <v>19</v>
      </c>
      <c r="B29" s="12" t="s">
        <v>212</v>
      </c>
      <c r="C29" s="12"/>
      <c r="D29" s="13" t="s">
        <v>213</v>
      </c>
      <c r="E29" s="13"/>
      <c r="F29" s="13" t="s">
        <v>214</v>
      </c>
      <c r="G29" s="12"/>
      <c r="H29" s="12"/>
      <c r="I29" s="12"/>
      <c r="J29" s="12"/>
      <c r="K29" s="12"/>
      <c r="L29" s="12"/>
      <c r="M29" s="12"/>
      <c r="N29" s="12"/>
      <c r="O29" s="12"/>
      <c r="P29" s="12"/>
      <c r="Q29" s="12"/>
      <c r="R29" s="12"/>
      <c r="S29" s="12"/>
      <c r="T29" s="12"/>
      <c r="U29" s="12"/>
      <c r="V29" s="12"/>
      <c r="W29" s="12"/>
      <c r="X29" s="12"/>
      <c r="Y29" s="12"/>
      <c r="Z29" s="12"/>
      <c r="AA29" s="12"/>
      <c r="AB29" s="12"/>
    </row>
    <row r="30" ht="14.25" customHeight="1">
      <c r="A30" s="4" t="s">
        <v>26</v>
      </c>
      <c r="B30" s="5" t="s">
        <v>215</v>
      </c>
      <c r="D30" s="5" t="s">
        <v>216</v>
      </c>
      <c r="E30" s="5"/>
      <c r="F30" s="5" t="s">
        <v>217</v>
      </c>
    </row>
    <row r="31" ht="14.25" customHeight="1">
      <c r="A31" s="4" t="s">
        <v>26</v>
      </c>
      <c r="B31" s="5" t="s">
        <v>218</v>
      </c>
      <c r="D31" s="5" t="s">
        <v>219</v>
      </c>
      <c r="E31" s="5"/>
      <c r="F31" s="5" t="s">
        <v>220</v>
      </c>
    </row>
    <row r="32" ht="14.25" customHeight="1">
      <c r="A32" s="4" t="s">
        <v>26</v>
      </c>
      <c r="B32" s="5" t="s">
        <v>221</v>
      </c>
      <c r="D32" s="5" t="s">
        <v>222</v>
      </c>
      <c r="E32" s="5"/>
      <c r="F32" s="5" t="s">
        <v>223</v>
      </c>
    </row>
    <row r="33" ht="14.25" customHeight="1">
      <c r="A33" s="4" t="s">
        <v>26</v>
      </c>
      <c r="B33" s="5" t="s">
        <v>224</v>
      </c>
      <c r="D33" s="5" t="s">
        <v>225</v>
      </c>
      <c r="E33" s="5"/>
      <c r="F33" s="5" t="s">
        <v>226</v>
      </c>
    </row>
    <row r="34" ht="14.25" customHeight="1">
      <c r="A34" s="4" t="s">
        <v>26</v>
      </c>
      <c r="B34" s="5" t="s">
        <v>227</v>
      </c>
      <c r="D34" s="5" t="s">
        <v>228</v>
      </c>
      <c r="E34" s="5"/>
      <c r="F34" s="5" t="s">
        <v>229</v>
      </c>
    </row>
    <row r="35" ht="14.25" customHeight="1">
      <c r="A35" s="4" t="s">
        <v>26</v>
      </c>
      <c r="B35" s="5" t="s">
        <v>230</v>
      </c>
      <c r="D35" s="5" t="s">
        <v>231</v>
      </c>
      <c r="E35" s="5"/>
      <c r="F35" s="5" t="s">
        <v>232</v>
      </c>
    </row>
    <row r="36" ht="14.25" customHeight="1">
      <c r="A36" s="4" t="s">
        <v>26</v>
      </c>
      <c r="B36" s="5" t="s">
        <v>233</v>
      </c>
      <c r="D36" s="5" t="s">
        <v>234</v>
      </c>
      <c r="E36" s="5"/>
      <c r="F36" s="5" t="s">
        <v>235</v>
      </c>
    </row>
    <row r="37" ht="14.25" customHeight="1">
      <c r="A37" s="12" t="s">
        <v>33</v>
      </c>
      <c r="B37" s="12" t="s">
        <v>236</v>
      </c>
      <c r="C37" s="12"/>
      <c r="D37" s="13" t="s">
        <v>237</v>
      </c>
      <c r="E37" s="13"/>
      <c r="F37" s="13" t="s">
        <v>238</v>
      </c>
      <c r="G37" s="12"/>
      <c r="H37" s="12"/>
      <c r="I37" s="12"/>
      <c r="J37" s="12"/>
      <c r="K37" s="12"/>
      <c r="L37" s="12"/>
      <c r="M37" s="12"/>
      <c r="N37" s="12"/>
      <c r="O37" s="12"/>
      <c r="P37" s="12"/>
      <c r="Q37" s="12"/>
      <c r="R37" s="12"/>
      <c r="S37" s="12"/>
      <c r="T37" s="12"/>
      <c r="U37" s="12"/>
      <c r="V37" s="12"/>
      <c r="W37" s="12"/>
      <c r="X37" s="12"/>
      <c r="Y37" s="12"/>
      <c r="Z37" s="12"/>
      <c r="AA37" s="12"/>
      <c r="AB37" s="12"/>
    </row>
    <row r="38" ht="14.25" customHeight="1">
      <c r="A38" s="12" t="s">
        <v>33</v>
      </c>
      <c r="B38" s="12" t="s">
        <v>239</v>
      </c>
      <c r="C38" s="12"/>
      <c r="D38" s="13" t="s">
        <v>240</v>
      </c>
      <c r="E38" s="13"/>
      <c r="F38" s="13" t="s">
        <v>241</v>
      </c>
      <c r="G38" s="12"/>
      <c r="H38" s="12"/>
      <c r="I38" s="12"/>
      <c r="J38" s="12"/>
      <c r="K38" s="12"/>
      <c r="L38" s="12"/>
      <c r="M38" s="12"/>
      <c r="N38" s="12"/>
      <c r="O38" s="12"/>
      <c r="P38" s="12"/>
      <c r="Q38" s="12"/>
      <c r="R38" s="12"/>
      <c r="S38" s="12"/>
      <c r="T38" s="12"/>
      <c r="U38" s="12"/>
      <c r="V38" s="12"/>
      <c r="W38" s="12"/>
      <c r="X38" s="12"/>
      <c r="Y38" s="12"/>
      <c r="Z38" s="12"/>
      <c r="AA38" s="12"/>
      <c r="AB38" s="12"/>
    </row>
    <row r="39" ht="14.25" customHeight="1">
      <c r="A39" s="12" t="s">
        <v>33</v>
      </c>
      <c r="B39" s="12" t="s">
        <v>242</v>
      </c>
      <c r="C39" s="12"/>
      <c r="D39" s="13" t="s">
        <v>243</v>
      </c>
      <c r="E39" s="13"/>
      <c r="F39" s="13" t="s">
        <v>244</v>
      </c>
      <c r="G39" s="12"/>
      <c r="H39" s="12"/>
      <c r="I39" s="12"/>
      <c r="J39" s="12"/>
      <c r="K39" s="12"/>
      <c r="L39" s="12"/>
      <c r="M39" s="12"/>
      <c r="N39" s="12"/>
      <c r="O39" s="12"/>
      <c r="P39" s="12"/>
      <c r="Q39" s="12"/>
      <c r="R39" s="12"/>
      <c r="S39" s="12"/>
      <c r="T39" s="12"/>
      <c r="U39" s="12"/>
      <c r="V39" s="12"/>
      <c r="W39" s="12"/>
      <c r="X39" s="12"/>
      <c r="Y39" s="12"/>
      <c r="Z39" s="12"/>
      <c r="AA39" s="12"/>
      <c r="AB39" s="12"/>
    </row>
    <row r="40" ht="14.25" customHeight="1">
      <c r="A40" s="12" t="s">
        <v>33</v>
      </c>
      <c r="B40" s="12" t="s">
        <v>245</v>
      </c>
      <c r="C40" s="12"/>
      <c r="D40" s="13" t="s">
        <v>246</v>
      </c>
      <c r="E40" s="13"/>
      <c r="F40" s="13" t="s">
        <v>247</v>
      </c>
      <c r="G40" s="12"/>
      <c r="H40" s="12"/>
      <c r="I40" s="12"/>
      <c r="J40" s="12"/>
      <c r="K40" s="12"/>
      <c r="L40" s="12"/>
      <c r="M40" s="12"/>
      <c r="N40" s="12"/>
      <c r="O40" s="12"/>
      <c r="P40" s="12"/>
      <c r="Q40" s="12"/>
      <c r="R40" s="12"/>
      <c r="S40" s="12"/>
      <c r="T40" s="12"/>
      <c r="U40" s="12"/>
      <c r="V40" s="12"/>
      <c r="W40" s="12"/>
      <c r="X40" s="12"/>
      <c r="Y40" s="12"/>
      <c r="Z40" s="12"/>
      <c r="AA40" s="12"/>
      <c r="AB40" s="12"/>
    </row>
    <row r="41" ht="14.25" customHeight="1">
      <c r="A41" s="12" t="s">
        <v>33</v>
      </c>
      <c r="B41" s="12" t="s">
        <v>248</v>
      </c>
      <c r="C41" s="12"/>
      <c r="D41" s="13" t="s">
        <v>249</v>
      </c>
      <c r="E41" s="13"/>
      <c r="F41" s="13" t="s">
        <v>250</v>
      </c>
      <c r="G41" s="12"/>
      <c r="H41" s="12"/>
      <c r="I41" s="12"/>
      <c r="J41" s="12"/>
      <c r="K41" s="12"/>
      <c r="L41" s="12"/>
      <c r="M41" s="12"/>
      <c r="N41" s="12"/>
      <c r="O41" s="12"/>
      <c r="P41" s="12"/>
      <c r="Q41" s="12"/>
      <c r="R41" s="12"/>
      <c r="S41" s="12"/>
      <c r="T41" s="12"/>
      <c r="U41" s="12"/>
      <c r="V41" s="12"/>
      <c r="W41" s="12"/>
      <c r="X41" s="12"/>
      <c r="Y41" s="12"/>
      <c r="Z41" s="12"/>
      <c r="AA41" s="12"/>
      <c r="AB41" s="12"/>
    </row>
    <row r="42" ht="14.25" customHeight="1">
      <c r="A42" s="4" t="s">
        <v>38</v>
      </c>
      <c r="B42" s="4" t="s">
        <v>251</v>
      </c>
      <c r="D42" s="5" t="s">
        <v>252</v>
      </c>
      <c r="E42" s="5"/>
      <c r="F42" s="5" t="s">
        <v>253</v>
      </c>
    </row>
    <row r="43" ht="14.25" customHeight="1">
      <c r="A43" s="4" t="s">
        <v>38</v>
      </c>
      <c r="B43" s="4" t="s">
        <v>254</v>
      </c>
      <c r="D43" s="5" t="s">
        <v>255</v>
      </c>
      <c r="E43" s="5"/>
      <c r="F43" s="5" t="s">
        <v>256</v>
      </c>
    </row>
    <row r="44" ht="14.25" customHeight="1">
      <c r="A44" s="4" t="s">
        <v>38</v>
      </c>
      <c r="B44" s="4" t="s">
        <v>257</v>
      </c>
      <c r="D44" s="5" t="s">
        <v>258</v>
      </c>
      <c r="F44" s="4" t="s">
        <v>259</v>
      </c>
    </row>
    <row r="45" ht="14.25" customHeight="1">
      <c r="A45" s="12" t="s">
        <v>43</v>
      </c>
      <c r="B45" s="12" t="s">
        <v>260</v>
      </c>
      <c r="C45" s="12"/>
      <c r="D45" s="13" t="s">
        <v>261</v>
      </c>
      <c r="E45" s="13"/>
      <c r="F45" s="13" t="s">
        <v>262</v>
      </c>
      <c r="G45" s="12"/>
      <c r="H45" s="12"/>
      <c r="I45" s="12"/>
      <c r="J45" s="12"/>
      <c r="K45" s="12"/>
      <c r="L45" s="12"/>
      <c r="M45" s="12"/>
      <c r="N45" s="12"/>
      <c r="O45" s="12"/>
      <c r="P45" s="12"/>
      <c r="Q45" s="12"/>
      <c r="R45" s="12"/>
      <c r="S45" s="12"/>
      <c r="T45" s="12"/>
      <c r="U45" s="12"/>
      <c r="V45" s="12"/>
      <c r="W45" s="12"/>
      <c r="X45" s="12"/>
      <c r="Y45" s="12"/>
      <c r="Z45" s="12"/>
      <c r="AA45" s="12"/>
      <c r="AB45" s="12"/>
    </row>
    <row r="46" ht="14.25" customHeight="1">
      <c r="A46" s="12" t="s">
        <v>43</v>
      </c>
      <c r="B46" s="12" t="s">
        <v>263</v>
      </c>
      <c r="C46" s="12"/>
      <c r="D46" s="13" t="s">
        <v>264</v>
      </c>
      <c r="E46" s="13"/>
      <c r="F46" s="13" t="s">
        <v>265</v>
      </c>
      <c r="G46" s="12"/>
      <c r="H46" s="12"/>
      <c r="I46" s="12"/>
      <c r="J46" s="12"/>
      <c r="K46" s="12"/>
      <c r="L46" s="12"/>
      <c r="M46" s="12"/>
      <c r="N46" s="12"/>
      <c r="O46" s="12"/>
      <c r="P46" s="12"/>
      <c r="Q46" s="12"/>
      <c r="R46" s="12"/>
      <c r="S46" s="12"/>
      <c r="T46" s="12"/>
      <c r="U46" s="12"/>
      <c r="V46" s="12"/>
      <c r="W46" s="12"/>
      <c r="X46" s="12"/>
      <c r="Y46" s="12"/>
      <c r="Z46" s="12"/>
      <c r="AA46" s="12"/>
      <c r="AB46" s="12"/>
    </row>
    <row r="47" ht="14.25" customHeight="1">
      <c r="A47" s="12" t="s">
        <v>43</v>
      </c>
      <c r="B47" s="12" t="s">
        <v>266</v>
      </c>
      <c r="C47" s="12"/>
      <c r="D47" s="13" t="s">
        <v>267</v>
      </c>
      <c r="E47" s="13"/>
      <c r="F47" s="13" t="s">
        <v>268</v>
      </c>
      <c r="G47" s="12"/>
      <c r="H47" s="12"/>
      <c r="I47" s="12"/>
      <c r="J47" s="12"/>
      <c r="K47" s="12"/>
      <c r="L47" s="12"/>
      <c r="M47" s="12"/>
      <c r="N47" s="12"/>
      <c r="O47" s="12"/>
      <c r="P47" s="12"/>
      <c r="Q47" s="12"/>
      <c r="R47" s="12"/>
      <c r="S47" s="12"/>
      <c r="T47" s="12"/>
      <c r="U47" s="12"/>
      <c r="V47" s="12"/>
      <c r="W47" s="12"/>
      <c r="X47" s="12"/>
      <c r="Y47" s="12"/>
      <c r="Z47" s="12"/>
      <c r="AA47" s="12"/>
      <c r="AB47" s="12"/>
    </row>
    <row r="48" ht="14.25" customHeight="1">
      <c r="A48" s="12" t="s">
        <v>43</v>
      </c>
      <c r="B48" s="12" t="s">
        <v>269</v>
      </c>
      <c r="C48" s="12"/>
      <c r="D48" s="13" t="s">
        <v>270</v>
      </c>
      <c r="E48" s="13"/>
      <c r="F48" s="13" t="s">
        <v>271</v>
      </c>
      <c r="G48" s="12"/>
      <c r="H48" s="12"/>
      <c r="I48" s="12"/>
      <c r="J48" s="12"/>
      <c r="K48" s="12"/>
      <c r="L48" s="12"/>
      <c r="M48" s="12"/>
      <c r="N48" s="12"/>
      <c r="O48" s="12"/>
      <c r="P48" s="12"/>
      <c r="Q48" s="12"/>
      <c r="R48" s="12"/>
      <c r="S48" s="12"/>
      <c r="T48" s="12"/>
      <c r="U48" s="12"/>
      <c r="V48" s="12"/>
      <c r="W48" s="12"/>
      <c r="X48" s="12"/>
      <c r="Y48" s="12"/>
      <c r="Z48" s="12"/>
      <c r="AA48" s="12"/>
      <c r="AB48" s="12"/>
    </row>
    <row r="49" ht="14.25" customHeight="1">
      <c r="A49" s="4" t="s">
        <v>50</v>
      </c>
      <c r="B49" s="4" t="s">
        <v>272</v>
      </c>
      <c r="D49" s="5" t="s">
        <v>273</v>
      </c>
      <c r="E49" s="5"/>
      <c r="F49" s="5" t="s">
        <v>274</v>
      </c>
    </row>
    <row r="50" ht="14.25" customHeight="1">
      <c r="A50" s="4" t="s">
        <v>50</v>
      </c>
      <c r="B50" s="4" t="s">
        <v>275</v>
      </c>
      <c r="C50" s="5">
        <v>1.0</v>
      </c>
      <c r="D50" s="5" t="s">
        <v>276</v>
      </c>
      <c r="E50" s="5" t="s">
        <v>277</v>
      </c>
      <c r="F50" s="5" t="s">
        <v>278</v>
      </c>
      <c r="G50" s="5">
        <v>14.0</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1:$F$50"/>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20.71"/>
    <col customWidth="1" min="3" max="5" width="21.43"/>
  </cols>
  <sheetData>
    <row r="1">
      <c r="A1" s="5" t="s">
        <v>279</v>
      </c>
      <c r="B1" s="5" t="s">
        <v>280</v>
      </c>
      <c r="C1" s="5" t="s">
        <v>281</v>
      </c>
      <c r="D1" s="5" t="s">
        <v>282</v>
      </c>
      <c r="E1" s="5" t="s">
        <v>283</v>
      </c>
    </row>
    <row r="2">
      <c r="A2" s="14">
        <v>1.0</v>
      </c>
      <c r="B2" s="5" t="s">
        <v>284</v>
      </c>
      <c r="C2" s="5"/>
      <c r="D2" s="5" t="s">
        <v>118</v>
      </c>
      <c r="E2" s="5" t="s">
        <v>285</v>
      </c>
    </row>
    <row r="3">
      <c r="A3" s="14">
        <v>2.0</v>
      </c>
      <c r="B3" s="5" t="s">
        <v>124</v>
      </c>
      <c r="C3" s="5"/>
      <c r="D3" s="5" t="s">
        <v>122</v>
      </c>
      <c r="E3" s="5" t="s">
        <v>286</v>
      </c>
    </row>
    <row r="4">
      <c r="A4" s="14">
        <v>3.0</v>
      </c>
      <c r="B4" s="5" t="s">
        <v>287</v>
      </c>
      <c r="C4" s="5" t="s">
        <v>288</v>
      </c>
      <c r="D4" s="5" t="s">
        <v>126</v>
      </c>
      <c r="E4" s="5" t="s">
        <v>289</v>
      </c>
    </row>
    <row r="5">
      <c r="A5" s="14">
        <v>4.0</v>
      </c>
      <c r="B5" s="5" t="s">
        <v>287</v>
      </c>
      <c r="C5" s="5" t="s">
        <v>290</v>
      </c>
      <c r="D5" s="5" t="s">
        <v>130</v>
      </c>
      <c r="E5" s="5"/>
    </row>
    <row r="6">
      <c r="A6" s="14">
        <v>5.0</v>
      </c>
      <c r="B6" s="5" t="s">
        <v>291</v>
      </c>
      <c r="C6" s="5" t="s">
        <v>288</v>
      </c>
      <c r="D6" s="5" t="s">
        <v>137</v>
      </c>
      <c r="E6" s="5" t="s">
        <v>292</v>
      </c>
    </row>
    <row r="7">
      <c r="A7" s="14">
        <v>6.0</v>
      </c>
      <c r="B7" s="5" t="s">
        <v>291</v>
      </c>
      <c r="C7" s="5" t="s">
        <v>293</v>
      </c>
      <c r="D7" s="5" t="s">
        <v>141</v>
      </c>
      <c r="E7" s="5"/>
    </row>
    <row r="8">
      <c r="A8" s="14">
        <v>7.0</v>
      </c>
      <c r="B8" s="5" t="s">
        <v>294</v>
      </c>
      <c r="C8" s="5" t="s">
        <v>288</v>
      </c>
      <c r="D8" s="5" t="s">
        <v>145</v>
      </c>
      <c r="E8" s="5" t="s">
        <v>295</v>
      </c>
    </row>
    <row r="9">
      <c r="A9" s="14">
        <v>8.0</v>
      </c>
      <c r="B9" s="5" t="s">
        <v>294</v>
      </c>
      <c r="C9" s="5" t="s">
        <v>296</v>
      </c>
      <c r="D9" s="5" t="s">
        <v>149</v>
      </c>
      <c r="E9" s="5"/>
    </row>
    <row r="10">
      <c r="A10" s="14">
        <v>9.0</v>
      </c>
      <c r="B10" s="5" t="s">
        <v>297</v>
      </c>
      <c r="C10" s="5" t="s">
        <v>298</v>
      </c>
      <c r="D10" s="5" t="s">
        <v>156</v>
      </c>
      <c r="E10" s="5" t="s">
        <v>299</v>
      </c>
    </row>
    <row r="11">
      <c r="A11" s="14">
        <v>10.0</v>
      </c>
      <c r="B11" s="5" t="s">
        <v>297</v>
      </c>
      <c r="C11" s="5" t="s">
        <v>300</v>
      </c>
      <c r="D11" s="5" t="s">
        <v>160</v>
      </c>
      <c r="E11" s="5"/>
    </row>
    <row r="12">
      <c r="A12" s="14">
        <v>11.0</v>
      </c>
      <c r="B12" s="5" t="s">
        <v>301</v>
      </c>
      <c r="C12" s="5" t="s">
        <v>298</v>
      </c>
      <c r="D12" s="5" t="s">
        <v>164</v>
      </c>
      <c r="E12" s="5" t="s">
        <v>302</v>
      </c>
    </row>
    <row r="13">
      <c r="A13" s="14">
        <v>12.0</v>
      </c>
      <c r="B13" s="5" t="s">
        <v>301</v>
      </c>
      <c r="C13" s="5" t="s">
        <v>300</v>
      </c>
      <c r="D13" s="5" t="s">
        <v>168</v>
      </c>
      <c r="E13" s="5"/>
    </row>
    <row r="14">
      <c r="A14" s="14">
        <v>13.0</v>
      </c>
      <c r="B14" s="5" t="s">
        <v>303</v>
      </c>
      <c r="C14" s="5"/>
      <c r="D14" s="5" t="s">
        <v>172</v>
      </c>
      <c r="E14" s="5" t="s">
        <v>304</v>
      </c>
    </row>
    <row r="15">
      <c r="A15" s="14">
        <v>14.0</v>
      </c>
      <c r="B15" s="5" t="s">
        <v>305</v>
      </c>
      <c r="C15" s="5"/>
      <c r="D15" s="5" t="s">
        <v>275</v>
      </c>
      <c r="E15" s="5" t="s">
        <v>306</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8.71"/>
    <col customWidth="1" hidden="1" min="2" max="2" width="11.29"/>
    <col customWidth="1" min="3" max="3" width="12.43"/>
    <col customWidth="1" min="4" max="4" width="8.71"/>
    <col customWidth="1" min="5" max="5" width="63.0"/>
    <col customWidth="1" min="6" max="6" width="297.71"/>
    <col customWidth="1" min="7" max="7" width="69.29"/>
    <col customWidth="1" min="8" max="8" width="24.57"/>
    <col customWidth="1" min="9" max="9" width="26.57"/>
    <col customWidth="1" min="10" max="10" width="70.57"/>
    <col customWidth="1" min="11" max="11" width="70.29"/>
    <col customWidth="1" min="12" max="12" width="67.0"/>
    <col customWidth="1" min="13" max="13" width="66.29"/>
    <col customWidth="1" min="14" max="14" width="53.43"/>
    <col customWidth="1" min="15" max="15" width="19.86"/>
    <col customWidth="1" min="16" max="21" width="8.71"/>
  </cols>
  <sheetData>
    <row r="1" ht="14.25" customHeight="1">
      <c r="A1" s="1" t="s">
        <v>0</v>
      </c>
      <c r="B1" s="15" t="s">
        <v>307</v>
      </c>
      <c r="C1" s="1" t="s">
        <v>57</v>
      </c>
      <c r="D1" s="1" t="s">
        <v>308</v>
      </c>
      <c r="E1" s="16" t="s">
        <v>309</v>
      </c>
      <c r="F1" s="1" t="s">
        <v>310</v>
      </c>
      <c r="G1" s="1" t="s">
        <v>311</v>
      </c>
      <c r="H1" s="1" t="s">
        <v>312</v>
      </c>
      <c r="I1" s="2" t="s">
        <v>313</v>
      </c>
      <c r="J1" s="5" t="s">
        <v>314</v>
      </c>
      <c r="K1" s="5" t="s">
        <v>315</v>
      </c>
      <c r="L1" s="5" t="s">
        <v>316</v>
      </c>
      <c r="M1" s="5" t="s">
        <v>317</v>
      </c>
      <c r="N1" s="5" t="s">
        <v>318</v>
      </c>
      <c r="O1" s="5" t="s">
        <v>319</v>
      </c>
    </row>
    <row r="2" ht="14.25" customHeight="1">
      <c r="A2" s="12" t="s">
        <v>8</v>
      </c>
      <c r="B2" s="12" t="s">
        <v>320</v>
      </c>
      <c r="C2" s="12" t="str">
        <f t="shared" ref="C2:C110" si="1">A2 &amp; "." &amp; B2</f>
        <v>P1.F1</v>
      </c>
      <c r="D2" s="12" t="s">
        <v>321</v>
      </c>
      <c r="E2" s="12" t="s">
        <v>322</v>
      </c>
      <c r="F2" s="12" t="s">
        <v>323</v>
      </c>
      <c r="G2" s="17" t="str">
        <f>IFERROR(__xludf.DUMMYFUNCTION("ARRAYFORMULA(IF(ISBLANK(F2:F1000), , TRIM(REGEXREPLACE(F2:F1000, ""(.{1,76})(?:\s+|$)"", ""$1"" &amp; CHAR(10)))))"),"Expand high-quality pre-K and strengthen kindergarten readiness by
partnering with North Carolina Department of Health and Human Services
(NCDHHS) and PSUs to align standards, coordinate inclusive early learning
systems and enhance transition supports.")</f>
        <v>Expand high-quality pre-K and strengthen kindergarten readiness by
partnering with North Carolina Department of Health and Human Services
(NCDHHS) and PSUs to align standards, coordinate inclusive early learning
systems and enhance transition supports.</v>
      </c>
      <c r="H2" s="18">
        <v>46023.0</v>
      </c>
      <c r="I2" s="12" t="str">
        <f t="shared" ref="I2:I110" si="2">"Starts in " &amp; TEXT(H2,"mmmm, yyyy")</f>
        <v>Starts in January, 2026</v>
      </c>
      <c r="J2" s="12" t="str">
        <f>IFERROR(__xludf.DUMMYFUNCTION("SPLIT(REGEXREPLACE(F2, ""(.{1,76})(?:\s+|$)"", ""$1"" &amp; ""¶""), ""¶"")"),"Expand high-quality pre-K and strengthen kindergarten readiness by")</f>
        <v>Expand high-quality pre-K and strengthen kindergarten readiness by</v>
      </c>
      <c r="K2" s="12" t="str">
        <f>IFERROR(__xludf.DUMMYFUNCTION("""COMPUTED_VALUE"""),"partnering with North Carolina Department of Health and Human Services")</f>
        <v>partnering with North Carolina Department of Health and Human Services</v>
      </c>
      <c r="L2" s="12" t="str">
        <f>IFERROR(__xludf.DUMMYFUNCTION("""COMPUTED_VALUE"""),"(NCDHHS) and PSUs to align standards, coordinate inclusive early learning")</f>
        <v>(NCDHHS) and PSUs to align standards, coordinate inclusive early learning</v>
      </c>
      <c r="M2" s="12" t="str">
        <f>IFERROR(__xludf.DUMMYFUNCTION("""COMPUTED_VALUE"""),"systems and enhance transition supports.")</f>
        <v>systems and enhance transition supports.</v>
      </c>
      <c r="N2" s="12"/>
      <c r="O2" s="12"/>
      <c r="P2" s="12"/>
      <c r="Q2" s="12"/>
      <c r="R2" s="12"/>
      <c r="S2" s="12"/>
      <c r="T2" s="12"/>
      <c r="U2" s="12"/>
    </row>
    <row r="3" ht="14.25" customHeight="1">
      <c r="A3" s="12" t="s">
        <v>8</v>
      </c>
      <c r="B3" s="12" t="s">
        <v>320</v>
      </c>
      <c r="C3" s="12" t="str">
        <f t="shared" si="1"/>
        <v>P1.F1</v>
      </c>
      <c r="D3" s="12" t="s">
        <v>324</v>
      </c>
      <c r="E3" s="12" t="s">
        <v>325</v>
      </c>
      <c r="F3" s="12" t="s">
        <v>326</v>
      </c>
      <c r="G3" s="18" t="str">
        <f>IFERROR(__xludf.DUMMYFUNCTION("""COMPUTED_VALUE"""),"Build on the implementation of North Carolina’s Science of Reading
initiative by continuing to expand high-impact literacy practices and launch
a parallel focus on foundational mathematics to support early learning.")</f>
        <v>Build on the implementation of North Carolina’s Science of Reading
initiative by continuing to expand high-impact literacy practices and launch
a parallel focus on foundational mathematics to support early learning.</v>
      </c>
      <c r="H3" s="18">
        <v>46388.0</v>
      </c>
      <c r="I3" s="12" t="str">
        <f t="shared" si="2"/>
        <v>Starts in January, 2027</v>
      </c>
      <c r="J3" s="12" t="str">
        <f>IFERROR(__xludf.DUMMYFUNCTION("SPLIT(REGEXREPLACE(F3, ""(.{1,76})(?:\s+|$)"", ""$1"" &amp; ""¶""), ""¶"")"),"Build on the implementation of North Carolina’s Science of Reading")</f>
        <v>Build on the implementation of North Carolina’s Science of Reading</v>
      </c>
      <c r="K3" s="12" t="str">
        <f>IFERROR(__xludf.DUMMYFUNCTION("""COMPUTED_VALUE"""),"initiative by continuing to expand high-impact literacy practices and launch")</f>
        <v>initiative by continuing to expand high-impact literacy practices and launch</v>
      </c>
      <c r="L3" s="12" t="str">
        <f>IFERROR(__xludf.DUMMYFUNCTION("""COMPUTED_VALUE"""),"a parallel focus on foundational mathematics to support early learning.")</f>
        <v>a parallel focus on foundational mathematics to support early learning.</v>
      </c>
      <c r="M3" s="12"/>
      <c r="N3" s="12"/>
      <c r="O3" s="12"/>
      <c r="P3" s="12"/>
      <c r="Q3" s="12"/>
      <c r="R3" s="12"/>
      <c r="S3" s="12"/>
      <c r="T3" s="12"/>
      <c r="U3" s="12"/>
    </row>
    <row r="4" ht="14.25" customHeight="1">
      <c r="A4" s="12" t="s">
        <v>8</v>
      </c>
      <c r="B4" s="12" t="s">
        <v>320</v>
      </c>
      <c r="C4" s="12" t="str">
        <f t="shared" si="1"/>
        <v>P1.F1</v>
      </c>
      <c r="D4" s="12" t="s">
        <v>327</v>
      </c>
      <c r="E4" s="12" t="s">
        <v>328</v>
      </c>
      <c r="F4" s="12" t="s">
        <v>329</v>
      </c>
      <c r="G4" s="18" t="str">
        <f>IFERROR(__xludf.DUMMYFUNCTION("""COMPUTED_VALUE"""),"Explore how to increase play-based learning in early childhood classrooms to
better foster children’s social, emotional, cognitive and physical
development.")</f>
        <v>Explore how to increase play-based learning in early childhood classrooms to
better foster children’s social, emotional, cognitive and physical
development.</v>
      </c>
      <c r="H4" s="18">
        <v>46753.0</v>
      </c>
      <c r="I4" s="12" t="str">
        <f t="shared" si="2"/>
        <v>Starts in January, 2028</v>
      </c>
      <c r="J4" s="12" t="str">
        <f>IFERROR(__xludf.DUMMYFUNCTION("SPLIT(REGEXREPLACE(F4, ""(.{1,76})(?:\s+|$)"", ""$1"" &amp; ""¶""), ""¶"")"),"Explore how to increase play-based learning in early childhood classrooms to")</f>
        <v>Explore how to increase play-based learning in early childhood classrooms to</v>
      </c>
      <c r="K4" s="12" t="str">
        <f>IFERROR(__xludf.DUMMYFUNCTION("""COMPUTED_VALUE"""),"better foster children’s social, emotional, cognitive and physical")</f>
        <v>better foster children’s social, emotional, cognitive and physical</v>
      </c>
      <c r="L4" s="12" t="str">
        <f>IFERROR(__xludf.DUMMYFUNCTION("""COMPUTED_VALUE"""),"development.")</f>
        <v>development.</v>
      </c>
      <c r="M4" s="12"/>
      <c r="N4" s="12"/>
      <c r="O4" s="12"/>
      <c r="P4" s="12"/>
      <c r="Q4" s="12"/>
      <c r="R4" s="12"/>
      <c r="S4" s="12"/>
      <c r="T4" s="12"/>
      <c r="U4" s="12"/>
    </row>
    <row r="5" ht="14.25" customHeight="1">
      <c r="A5" s="12" t="s">
        <v>8</v>
      </c>
      <c r="B5" s="12" t="s">
        <v>330</v>
      </c>
      <c r="C5" s="12" t="str">
        <f t="shared" si="1"/>
        <v>P1.F2</v>
      </c>
      <c r="D5" s="12" t="s">
        <v>331</v>
      </c>
      <c r="E5" s="12" t="s">
        <v>332</v>
      </c>
      <c r="F5" s="12" t="s">
        <v>333</v>
      </c>
      <c r="G5" s="18" t="str">
        <f>IFERROR(__xludf.DUMMYFUNCTION("""COMPUTED_VALUE"""),"Implement the Golden LEAF Schools Initiative through cross-agency
collaboration to transform educator practice and student outcomes in rural
schools, focusing on high-quality mathematics instruction via the High
Reliability Schools model.")</f>
        <v>Implement the Golden LEAF Schools Initiative through cross-agency
collaboration to transform educator practice and student outcomes in rural
schools, focusing on high-quality mathematics instruction via the High
Reliability Schools model.</v>
      </c>
      <c r="H5" s="18">
        <v>45839.0</v>
      </c>
      <c r="I5" s="12" t="str">
        <f t="shared" si="2"/>
        <v>Starts in July, 2025</v>
      </c>
      <c r="J5" s="12" t="str">
        <f>IFERROR(__xludf.DUMMYFUNCTION("SPLIT(REGEXREPLACE(F5, ""(.{1,76})(?:\s+|$)"", ""$1"" &amp; ""¶""), ""¶"")"),"Implement the Golden LEAF Schools Initiative through cross-agency")</f>
        <v>Implement the Golden LEAF Schools Initiative through cross-agency</v>
      </c>
      <c r="K5" s="12" t="str">
        <f>IFERROR(__xludf.DUMMYFUNCTION("""COMPUTED_VALUE"""),"collaboration to transform educator practice and student outcomes in rural")</f>
        <v>collaboration to transform educator practice and student outcomes in rural</v>
      </c>
      <c r="L5" s="12" t="str">
        <f>IFERROR(__xludf.DUMMYFUNCTION("""COMPUTED_VALUE"""),"schools, focusing on high-quality mathematics instruction via the High")</f>
        <v>schools, focusing on high-quality mathematics instruction via the High</v>
      </c>
      <c r="M5" s="12" t="str">
        <f>IFERROR(__xludf.DUMMYFUNCTION("""COMPUTED_VALUE"""),"Reliability Schools model.")</f>
        <v>Reliability Schools model.</v>
      </c>
      <c r="N5" s="12"/>
      <c r="O5" s="12"/>
      <c r="P5" s="12"/>
      <c r="Q5" s="12"/>
      <c r="R5" s="12"/>
      <c r="S5" s="12"/>
      <c r="T5" s="12"/>
      <c r="U5" s="12"/>
    </row>
    <row r="6" ht="14.25" customHeight="1">
      <c r="A6" s="12" t="s">
        <v>8</v>
      </c>
      <c r="B6" s="12" t="s">
        <v>330</v>
      </c>
      <c r="C6" s="12" t="str">
        <f t="shared" si="1"/>
        <v>P1.F2</v>
      </c>
      <c r="D6" s="12" t="s">
        <v>334</v>
      </c>
      <c r="E6" s="12" t="s">
        <v>335</v>
      </c>
      <c r="F6" s="12" t="s">
        <v>336</v>
      </c>
      <c r="G6" s="18" t="str">
        <f>IFERROR(__xludf.DUMMYFUNCTION("""COMPUTED_VALUE"""),"Strengthen digital learning and literacy pre-K–12 by developing
high-quality, standards-aligned online content; formalizing NCDPI’s approach
to supporting PSUs with a data-driven framework for effective digital and
personalized learning environments; and "&amp;"continuing to guide the responsible
use of artificial intelligence.")</f>
        <v>Strengthen digital learning and literacy pre-K–12 by developing
high-quality, standards-aligned online content; formalizing NCDPI’s approach
to supporting PSUs with a data-driven framework for effective digital and
personalized learning environments; and continuing to guide the responsible
use of artificial intelligence.</v>
      </c>
      <c r="H6" s="18">
        <v>46054.0</v>
      </c>
      <c r="I6" s="12" t="str">
        <f t="shared" si="2"/>
        <v>Starts in February, 2026</v>
      </c>
      <c r="J6" s="12" t="str">
        <f>IFERROR(__xludf.DUMMYFUNCTION("SPLIT(REGEXREPLACE(F6, ""(.{1,76})(?:\s+|$)"", ""$1"" &amp; ""¶""), ""¶"")"),"Strengthen digital learning and literacy pre-K–12 by developing")</f>
        <v>Strengthen digital learning and literacy pre-K–12 by developing</v>
      </c>
      <c r="K6" s="12" t="str">
        <f>IFERROR(__xludf.DUMMYFUNCTION("""COMPUTED_VALUE"""),"high-quality, standards-aligned online content; formalizing NCDPI’s approach")</f>
        <v>high-quality, standards-aligned online content; formalizing NCDPI’s approach</v>
      </c>
      <c r="L6" s="12" t="str">
        <f>IFERROR(__xludf.DUMMYFUNCTION("""COMPUTED_VALUE"""),"to supporting PSUs with a data-driven framework for effective digital and")</f>
        <v>to supporting PSUs with a data-driven framework for effective digital and</v>
      </c>
      <c r="M6" s="12" t="str">
        <f>IFERROR(__xludf.DUMMYFUNCTION("""COMPUTED_VALUE"""),"personalized learning environments; and continuing to guide the responsible")</f>
        <v>personalized learning environments; and continuing to guide the responsible</v>
      </c>
      <c r="N6" s="12" t="str">
        <f>IFERROR(__xludf.DUMMYFUNCTION("""COMPUTED_VALUE"""),"use of artificial intelligence.")</f>
        <v>use of artificial intelligence.</v>
      </c>
      <c r="O6" s="12"/>
      <c r="P6" s="12"/>
      <c r="Q6" s="12"/>
      <c r="R6" s="12"/>
      <c r="S6" s="12"/>
      <c r="T6" s="12"/>
      <c r="U6" s="12"/>
    </row>
    <row r="7" ht="14.25" customHeight="1">
      <c r="A7" s="12" t="s">
        <v>8</v>
      </c>
      <c r="B7" s="12" t="s">
        <v>330</v>
      </c>
      <c r="C7" s="12" t="str">
        <f t="shared" si="1"/>
        <v>P1.F2</v>
      </c>
      <c r="D7" s="12" t="s">
        <v>337</v>
      </c>
      <c r="E7" s="12" t="s">
        <v>338</v>
      </c>
      <c r="F7" s="12" t="s">
        <v>339</v>
      </c>
      <c r="G7" s="18" t="str">
        <f>IFERROR(__xludf.DUMMYFUNCTION("""COMPUTED_VALUE"""),"Design a Pre-K–12 Teaching and Learning Framework with PSUs to set shared
expectations for standards-aligned instruction, integrated supports and
access to high-quality learning for all students.")</f>
        <v>Design a Pre-K–12 Teaching and Learning Framework with PSUs to set shared
expectations for standards-aligned instruction, integrated supports and
access to high-quality learning for all students.</v>
      </c>
      <c r="H7" s="18">
        <v>46235.0</v>
      </c>
      <c r="I7" s="12" t="str">
        <f t="shared" si="2"/>
        <v>Starts in August, 2026</v>
      </c>
      <c r="J7" s="12" t="str">
        <f>IFERROR(__xludf.DUMMYFUNCTION("SPLIT(REGEXREPLACE(F7, ""(.{1,76})(?:\s+|$)"", ""$1"" &amp; ""¶""), ""¶"")"),"Design a Pre-K–12 Teaching and Learning Framework with PSUs to set shared")</f>
        <v>Design a Pre-K–12 Teaching and Learning Framework with PSUs to set shared</v>
      </c>
      <c r="K7" s="12" t="str">
        <f>IFERROR(__xludf.DUMMYFUNCTION("""COMPUTED_VALUE"""),"expectations for standards-aligned instruction, integrated supports and")</f>
        <v>expectations for standards-aligned instruction, integrated supports and</v>
      </c>
      <c r="L7" s="12" t="str">
        <f>IFERROR(__xludf.DUMMYFUNCTION("""COMPUTED_VALUE"""),"access to high-quality learning for all students.")</f>
        <v>access to high-quality learning for all students.</v>
      </c>
      <c r="M7" s="12"/>
      <c r="N7" s="12"/>
      <c r="O7" s="12"/>
      <c r="P7" s="12"/>
      <c r="Q7" s="12"/>
      <c r="R7" s="12"/>
      <c r="S7" s="12"/>
      <c r="T7" s="12"/>
      <c r="U7" s="12"/>
    </row>
    <row r="8" ht="14.25" customHeight="1">
      <c r="A8" s="12" t="s">
        <v>8</v>
      </c>
      <c r="B8" s="12" t="s">
        <v>340</v>
      </c>
      <c r="C8" s="12" t="str">
        <f t="shared" si="1"/>
        <v>P1.F3</v>
      </c>
      <c r="D8" s="12" t="s">
        <v>341</v>
      </c>
      <c r="E8" s="12" t="s">
        <v>342</v>
      </c>
      <c r="F8" s="12" t="s">
        <v>343</v>
      </c>
      <c r="G8" s="18" t="str">
        <f>IFERROR(__xludf.DUMMYFUNCTION("""COMPUTED_VALUE"""),"Support PSUs in expanding access to rigorous pathways, such as AP,
International Baccalaureate (IB), Cambridge International, Career and
College Promise (CCP), credentialed Career and Technical Education (CTE) and
Junior Reserve Officers’ Training Corps ("&amp;"JROTC), to ensure every student
takes and passes a college level and career-connected course.")</f>
        <v>Support PSUs in expanding access to rigorous pathways, such as AP,
International Baccalaureate (IB), Cambridge International, Career and
College Promise (CCP), credentialed Career and Technical Education (CTE) and
Junior Reserve Officers’ Training Corps (JROTC), to ensure every student
takes and passes a college level and career-connected course.</v>
      </c>
      <c r="H8" s="18">
        <v>46113.0</v>
      </c>
      <c r="I8" s="12" t="str">
        <f t="shared" si="2"/>
        <v>Starts in April, 2026</v>
      </c>
      <c r="J8" s="12" t="str">
        <f>IFERROR(__xludf.DUMMYFUNCTION("SPLIT(REGEXREPLACE(F8, ""(.{1,76})(?:\s+|$)"", ""$1"" &amp; ""¶""), ""¶"")"),"Support PSUs in expanding access to rigorous pathways, such as AP,")</f>
        <v>Support PSUs in expanding access to rigorous pathways, such as AP,</v>
      </c>
      <c r="K8" s="12" t="str">
        <f>IFERROR(__xludf.DUMMYFUNCTION("""COMPUTED_VALUE"""),"International Baccalaureate (IB), Cambridge International, Career and")</f>
        <v>International Baccalaureate (IB), Cambridge International, Career and</v>
      </c>
      <c r="L8" s="12" t="str">
        <f>IFERROR(__xludf.DUMMYFUNCTION("""COMPUTED_VALUE"""),"College Promise (CCP), credentialed Career and Technical Education (CTE) and")</f>
        <v>College Promise (CCP), credentialed Career and Technical Education (CTE) and</v>
      </c>
      <c r="M8" s="12" t="str">
        <f>IFERROR(__xludf.DUMMYFUNCTION("""COMPUTED_VALUE"""),"Junior Reserve Officers’ Training Corps (JROTC), to ensure every student")</f>
        <v>Junior Reserve Officers’ Training Corps (JROTC), to ensure every student</v>
      </c>
      <c r="N8" s="12" t="str">
        <f>IFERROR(__xludf.DUMMYFUNCTION("""COMPUTED_VALUE"""),"takes and passes a college level and career-connected course.")</f>
        <v>takes and passes a college level and career-connected course.</v>
      </c>
      <c r="O8" s="12" t="str">
        <f>I8</f>
        <v>Starts in April, 2026</v>
      </c>
      <c r="P8" s="12"/>
      <c r="Q8" s="12"/>
      <c r="R8" s="12"/>
      <c r="S8" s="12"/>
      <c r="T8" s="12"/>
      <c r="U8" s="12"/>
    </row>
    <row r="9" ht="14.25" customHeight="1">
      <c r="A9" s="12" t="s">
        <v>8</v>
      </c>
      <c r="B9" s="12" t="s">
        <v>340</v>
      </c>
      <c r="C9" s="12" t="str">
        <f t="shared" si="1"/>
        <v>P1.F3</v>
      </c>
      <c r="D9" s="12" t="s">
        <v>344</v>
      </c>
      <c r="E9" s="12" t="s">
        <v>345</v>
      </c>
      <c r="F9" s="12" t="s">
        <v>346</v>
      </c>
      <c r="G9" s="18" t="str">
        <f>IFERROR(__xludf.DUMMYFUNCTION("""COMPUTED_VALUE"""),"Expand access to advanced learning opportunities K-12, including North
Carolina Governor’s School and K-8 talent development programming, aligned
to student strengths, interests and career pathways.")</f>
        <v>Expand access to advanced learning opportunities K-12, including North
Carolina Governor’s School and K-8 talent development programming, aligned
to student strengths, interests and career pathways.</v>
      </c>
      <c r="H9" s="18">
        <v>46235.0</v>
      </c>
      <c r="I9" s="12" t="str">
        <f t="shared" si="2"/>
        <v>Starts in August, 2026</v>
      </c>
      <c r="J9" s="12" t="str">
        <f>IFERROR(__xludf.DUMMYFUNCTION("SPLIT(REGEXREPLACE(F9, ""(.{1,76})(?:\s+|$)"", ""$1"" &amp; ""¶""), ""¶"")"),"Expand access to advanced learning opportunities K-12, including North")</f>
        <v>Expand access to advanced learning opportunities K-12, including North</v>
      </c>
      <c r="K9" s="12" t="str">
        <f>IFERROR(__xludf.DUMMYFUNCTION("""COMPUTED_VALUE"""),"Carolina Governor’s School and K-8 talent development programming, aligned")</f>
        <v>Carolina Governor’s School and K-8 talent development programming, aligned</v>
      </c>
      <c r="L9" s="12" t="str">
        <f>IFERROR(__xludf.DUMMYFUNCTION("""COMPUTED_VALUE"""),"to student strengths, interests and career pathways.")</f>
        <v>to student strengths, interests and career pathways.</v>
      </c>
      <c r="M9" s="12"/>
      <c r="N9" s="12"/>
      <c r="O9" s="12"/>
      <c r="P9" s="12"/>
      <c r="Q9" s="12"/>
      <c r="R9" s="12"/>
      <c r="S9" s="12"/>
      <c r="T9" s="12"/>
      <c r="U9" s="12"/>
    </row>
    <row r="10" ht="14.25" customHeight="1">
      <c r="A10" s="12" t="s">
        <v>8</v>
      </c>
      <c r="B10" s="12" t="s">
        <v>340</v>
      </c>
      <c r="C10" s="12" t="str">
        <f t="shared" si="1"/>
        <v>P1.F3</v>
      </c>
      <c r="D10" s="12" t="s">
        <v>347</v>
      </c>
      <c r="E10" s="12" t="s">
        <v>348</v>
      </c>
      <c r="F10" s="12" t="s">
        <v>349</v>
      </c>
      <c r="G10" s="18" t="str">
        <f>IFERROR(__xludf.DUMMYFUNCTION("""COMPUTED_VALUE"""),"Promote appropriate screening, identification practices and policy shifts
that reduce disproportionality in AIG and EC services and expand
instructional support for multilingual learners across North Carolina
schools.")</f>
        <v>Promote appropriate screening, identification practices and policy shifts
that reduce disproportionality in AIG and EC services and expand
instructional support for multilingual learners across North Carolina
schools.</v>
      </c>
      <c r="H10" s="18">
        <v>46357.0</v>
      </c>
      <c r="I10" s="12" t="str">
        <f t="shared" si="2"/>
        <v>Starts in December, 2026</v>
      </c>
      <c r="J10" s="12" t="str">
        <f>IFERROR(__xludf.DUMMYFUNCTION("SPLIT(REGEXREPLACE(F10, ""(.{1,76})(?:\s+|$)"", ""$1"" &amp; ""¶""), ""¶"")"),"Promote appropriate screening, identification practices and policy shifts")</f>
        <v>Promote appropriate screening, identification practices and policy shifts</v>
      </c>
      <c r="K10" s="12" t="str">
        <f>IFERROR(__xludf.DUMMYFUNCTION("""COMPUTED_VALUE"""),"that reduce disproportionality in AIG and EC services and expand")</f>
        <v>that reduce disproportionality in AIG and EC services and expand</v>
      </c>
      <c r="L10" s="12" t="str">
        <f>IFERROR(__xludf.DUMMYFUNCTION("""COMPUTED_VALUE"""),"instructional support for multilingual learners across North Carolina")</f>
        <v>instructional support for multilingual learners across North Carolina</v>
      </c>
      <c r="M10" s="12" t="str">
        <f>IFERROR(__xludf.DUMMYFUNCTION("""COMPUTED_VALUE"""),"schools.")</f>
        <v>schools.</v>
      </c>
      <c r="N10" s="12"/>
      <c r="O10" s="12"/>
      <c r="P10" s="12"/>
      <c r="Q10" s="12"/>
      <c r="R10" s="12"/>
      <c r="S10" s="12"/>
      <c r="T10" s="12"/>
      <c r="U10" s="12"/>
    </row>
    <row r="11" ht="14.25" customHeight="1">
      <c r="A11" s="12" t="s">
        <v>8</v>
      </c>
      <c r="B11" s="12" t="s">
        <v>340</v>
      </c>
      <c r="C11" s="12" t="str">
        <f t="shared" si="1"/>
        <v>P1.F3</v>
      </c>
      <c r="D11" s="12" t="s">
        <v>350</v>
      </c>
      <c r="E11" s="12" t="s">
        <v>351</v>
      </c>
      <c r="F11" s="12" t="s">
        <v>352</v>
      </c>
      <c r="G11" s="18" t="str">
        <f>IFERROR(__xludf.DUMMYFUNCTION("""COMPUTED_VALUE"""),"Explore opportunities to have high school students take an ACT preparation
course prior to taking the ACT in the 11th grade.")</f>
        <v>Explore opportunities to have high school students take an ACT preparation
course prior to taking the ACT in the 11th grade.</v>
      </c>
      <c r="H11" s="18">
        <v>46388.0</v>
      </c>
      <c r="I11" s="12" t="str">
        <f t="shared" si="2"/>
        <v>Starts in January, 2027</v>
      </c>
      <c r="J11" s="12" t="str">
        <f>IFERROR(__xludf.DUMMYFUNCTION("SPLIT(REGEXREPLACE(F11, ""(.{1,76})(?:\s+|$)"", ""$1"" &amp; ""¶""), ""¶"")"),"Explore opportunities to have high school students take an ACT preparation")</f>
        <v>Explore opportunities to have high school students take an ACT preparation</v>
      </c>
      <c r="K11" s="12" t="str">
        <f>IFERROR(__xludf.DUMMYFUNCTION("""COMPUTED_VALUE"""),"course prior to taking the ACT in the 11th grade.")</f>
        <v>course prior to taking the ACT in the 11th grade.</v>
      </c>
      <c r="L11" s="12"/>
      <c r="M11" s="12"/>
      <c r="N11" s="12"/>
      <c r="O11" s="12"/>
      <c r="P11" s="12"/>
      <c r="Q11" s="12"/>
      <c r="R11" s="12"/>
      <c r="S11" s="12"/>
      <c r="T11" s="12"/>
      <c r="U11" s="12"/>
    </row>
    <row r="12" ht="14.25" customHeight="1">
      <c r="A12" s="12" t="s">
        <v>8</v>
      </c>
      <c r="B12" s="12" t="s">
        <v>353</v>
      </c>
      <c r="C12" s="12" t="str">
        <f t="shared" si="1"/>
        <v>P1.F4</v>
      </c>
      <c r="D12" s="12" t="s">
        <v>354</v>
      </c>
      <c r="E12" s="12" t="s">
        <v>355</v>
      </c>
      <c r="F12" s="12" t="s">
        <v>356</v>
      </c>
      <c r="G12" s="18" t="str">
        <f>IFERROR(__xludf.DUMMYFUNCTION("""COMPUTED_VALUE"""),"Promote awareness of NC College Connect, NextNC and the NC Need Based
Scholarship to provide direct admission to North Carolina colleges and
universities and financial aid to support the cost of attendance.")</f>
        <v>Promote awareness of NC College Connect, NextNC and the NC Need Based
Scholarship to provide direct admission to North Carolina colleges and
universities and financial aid to support the cost of attendance.</v>
      </c>
      <c r="H12" s="18">
        <v>45870.0</v>
      </c>
      <c r="I12" s="12" t="str">
        <f t="shared" si="2"/>
        <v>Starts in August, 2025</v>
      </c>
      <c r="J12" s="12" t="str">
        <f>IFERROR(__xludf.DUMMYFUNCTION("SPLIT(REGEXREPLACE(F12, ""(.{1,76})(?:\s+|$)"", ""$1"" &amp; ""¶""), ""¶"")"),"Promote awareness of NC College Connect, NextNC and the NC Need Based")</f>
        <v>Promote awareness of NC College Connect, NextNC and the NC Need Based</v>
      </c>
      <c r="K12" s="12" t="str">
        <f>IFERROR(__xludf.DUMMYFUNCTION("""COMPUTED_VALUE"""),"Scholarship to provide direct admission to North Carolina colleges and")</f>
        <v>Scholarship to provide direct admission to North Carolina colleges and</v>
      </c>
      <c r="L12" s="12" t="str">
        <f>IFERROR(__xludf.DUMMYFUNCTION("""COMPUTED_VALUE"""),"universities and financial aid to support the cost of attendance.")</f>
        <v>universities and financial aid to support the cost of attendance.</v>
      </c>
      <c r="M12" s="12"/>
      <c r="N12" s="12"/>
      <c r="O12" s="12"/>
      <c r="P12" s="12"/>
      <c r="Q12" s="12"/>
      <c r="R12" s="12"/>
      <c r="S12" s="12"/>
      <c r="T12" s="12"/>
      <c r="U12" s="12"/>
    </row>
    <row r="13" ht="14.25" customHeight="1">
      <c r="A13" s="12" t="s">
        <v>8</v>
      </c>
      <c r="B13" s="12" t="s">
        <v>353</v>
      </c>
      <c r="C13" s="12" t="str">
        <f t="shared" si="1"/>
        <v>P1.F4</v>
      </c>
      <c r="D13" s="12" t="s">
        <v>357</v>
      </c>
      <c r="E13" s="12" t="s">
        <v>358</v>
      </c>
      <c r="F13" s="12" t="s">
        <v>359</v>
      </c>
      <c r="G13" s="18" t="str">
        <f>IFERROR(__xludf.DUMMYFUNCTION("""COMPUTED_VALUE"""),"Provide PSUs with technical assistance to implement Career Development Plans
so students graduate with a purposeful plan for their future.")</f>
        <v>Provide PSUs with technical assistance to implement Career Development Plans
so students graduate with a purposeful plan for their future.</v>
      </c>
      <c r="H13" s="18">
        <v>46023.0</v>
      </c>
      <c r="I13" s="12" t="str">
        <f t="shared" si="2"/>
        <v>Starts in January, 2026</v>
      </c>
      <c r="J13" s="12" t="str">
        <f>IFERROR(__xludf.DUMMYFUNCTION("SPLIT(REGEXREPLACE(F13, ""(.{1,76})(?:\s+|$)"", ""$1"" &amp; ""¶""), ""¶"")"),"Provide PSUs with technical assistance to implement Career Development Plans")</f>
        <v>Provide PSUs with technical assistance to implement Career Development Plans</v>
      </c>
      <c r="K13" s="12" t="str">
        <f>IFERROR(__xludf.DUMMYFUNCTION("""COMPUTED_VALUE"""),"so students graduate with a purposeful plan for their future.")</f>
        <v>so students graduate with a purposeful plan for their future.</v>
      </c>
      <c r="L13" s="12"/>
      <c r="M13" s="12"/>
      <c r="N13" s="12"/>
      <c r="O13" s="12"/>
      <c r="P13" s="12"/>
      <c r="Q13" s="12"/>
      <c r="R13" s="12"/>
      <c r="S13" s="12"/>
      <c r="T13" s="12"/>
      <c r="U13" s="12"/>
    </row>
    <row r="14" ht="14.25" customHeight="1">
      <c r="A14" s="12" t="s">
        <v>8</v>
      </c>
      <c r="B14" s="12" t="s">
        <v>353</v>
      </c>
      <c r="C14" s="12" t="str">
        <f t="shared" si="1"/>
        <v>P1.F4</v>
      </c>
      <c r="D14" s="12" t="s">
        <v>360</v>
      </c>
      <c r="E14" s="12" t="s">
        <v>361</v>
      </c>
      <c r="F14" s="12" t="s">
        <v>362</v>
      </c>
      <c r="G14" s="18" t="str">
        <f>IFERROR(__xludf.DUMMYFUNCTION("""COMPUTED_VALUE"""),"Identify strategies for PSUs to strengthen grade-level transitions through
coordinated planning, advising and personalized pathways between pre-K,
elementary, middle and high school.")</f>
        <v>Identify strategies for PSUs to strengthen grade-level transitions through
coordinated planning, advising and personalized pathways between pre-K,
elementary, middle and high school.</v>
      </c>
      <c r="H14" s="18">
        <v>46235.0</v>
      </c>
      <c r="I14" s="12" t="str">
        <f t="shared" si="2"/>
        <v>Starts in August, 2026</v>
      </c>
      <c r="J14" s="12" t="str">
        <f>IFERROR(__xludf.DUMMYFUNCTION("SPLIT(REGEXREPLACE(F14, ""(.{1,76})(?:\s+|$)"", ""$1"" &amp; ""¶""), ""¶"")"),"Identify strategies for PSUs to strengthen grade-level transitions through")</f>
        <v>Identify strategies for PSUs to strengthen grade-level transitions through</v>
      </c>
      <c r="K14" s="12" t="str">
        <f>IFERROR(__xludf.DUMMYFUNCTION("""COMPUTED_VALUE"""),"coordinated planning, advising and personalized pathways between pre-K,")</f>
        <v>coordinated planning, advising and personalized pathways between pre-K,</v>
      </c>
      <c r="L14" s="12" t="str">
        <f>IFERROR(__xludf.DUMMYFUNCTION("""COMPUTED_VALUE"""),"elementary, middle and high school.")</f>
        <v>elementary, middle and high school.</v>
      </c>
      <c r="M14" s="12"/>
      <c r="N14" s="12"/>
      <c r="O14" s="12"/>
      <c r="P14" s="12"/>
      <c r="Q14" s="12"/>
      <c r="R14" s="12"/>
      <c r="S14" s="12"/>
      <c r="T14" s="12"/>
      <c r="U14" s="12"/>
    </row>
    <row r="15" ht="14.25" customHeight="1">
      <c r="A15" s="12" t="s">
        <v>8</v>
      </c>
      <c r="B15" s="12" t="s">
        <v>353</v>
      </c>
      <c r="C15" s="12" t="str">
        <f t="shared" si="1"/>
        <v>P1.F4</v>
      </c>
      <c r="D15" s="12" t="s">
        <v>363</v>
      </c>
      <c r="E15" s="12" t="s">
        <v>364</v>
      </c>
      <c r="F15" s="12" t="s">
        <v>365</v>
      </c>
      <c r="G15" s="18" t="str">
        <f>IFERROR(__xludf.DUMMYFUNCTION("""COMPUTED_VALUE"""),"Promote whole-child development and student engagement by expanding access
to arts, athletics and student-led leadership opportunities that are aligned
to academic standards and designed to cultivate students’ strengths,
interests and well-being.")</f>
        <v>Promote whole-child development and student engagement by expanding access
to arts, athletics and student-led leadership opportunities that are aligned
to academic standards and designed to cultivate students’ strengths,
interests and well-being.</v>
      </c>
      <c r="H15" s="18">
        <v>46235.0</v>
      </c>
      <c r="I15" s="12" t="str">
        <f t="shared" si="2"/>
        <v>Starts in August, 2026</v>
      </c>
      <c r="J15" s="12" t="str">
        <f>IFERROR(__xludf.DUMMYFUNCTION("SPLIT(REGEXREPLACE(F15, ""(.{1,76})(?:\s+|$)"", ""$1"" &amp; ""¶""), ""¶"")"),"Promote whole-child development and student engagement by expanding access")</f>
        <v>Promote whole-child development and student engagement by expanding access</v>
      </c>
      <c r="K15" s="12" t="str">
        <f>IFERROR(__xludf.DUMMYFUNCTION("""COMPUTED_VALUE"""),"to arts, athletics and student-led leadership opportunities that are aligned")</f>
        <v>to arts, athletics and student-led leadership opportunities that are aligned</v>
      </c>
      <c r="L15" s="12" t="str">
        <f>IFERROR(__xludf.DUMMYFUNCTION("""COMPUTED_VALUE"""),"to academic standards and designed to cultivate students’ strengths,")</f>
        <v>to academic standards and designed to cultivate students’ strengths,</v>
      </c>
      <c r="M15" s="12" t="str">
        <f>IFERROR(__xludf.DUMMYFUNCTION("""COMPUTED_VALUE"""),"interests and well-being.")</f>
        <v>interests and well-being.</v>
      </c>
      <c r="N15" s="12"/>
      <c r="O15" s="12"/>
      <c r="P15" s="12"/>
      <c r="Q15" s="12"/>
      <c r="R15" s="12"/>
      <c r="S15" s="12"/>
      <c r="T15" s="12"/>
      <c r="U15" s="12"/>
    </row>
    <row r="16" ht="14.25" customHeight="1">
      <c r="A16" s="12" t="s">
        <v>8</v>
      </c>
      <c r="B16" s="12" t="s">
        <v>353</v>
      </c>
      <c r="C16" s="12" t="str">
        <f t="shared" si="1"/>
        <v>P1.F4</v>
      </c>
      <c r="D16" s="12" t="s">
        <v>366</v>
      </c>
      <c r="E16" s="12" t="s">
        <v>367</v>
      </c>
      <c r="F16" s="12" t="s">
        <v>368</v>
      </c>
      <c r="G16" s="18" t="str">
        <f>IFERROR(__xludf.DUMMYFUNCTION("""COMPUTED_VALUE"""),"Establish scalable approaches to embed artificial intelligence safely,
responsibly and ethically, and ensure collaborative problem-solving is
included in the learning experience.")</f>
        <v>Establish scalable approaches to embed artificial intelligence safely,
responsibly and ethically, and ensure collaborative problem-solving is
included in the learning experience.</v>
      </c>
      <c r="H16" s="18">
        <v>46235.0</v>
      </c>
      <c r="I16" s="12" t="str">
        <f t="shared" si="2"/>
        <v>Starts in August, 2026</v>
      </c>
      <c r="J16" s="12" t="str">
        <f>IFERROR(__xludf.DUMMYFUNCTION("SPLIT(REGEXREPLACE(F16, ""(.{1,76})(?:\s+|$)"", ""$1"" &amp; ""¶""), ""¶"")"),"Establish scalable approaches to embed artificial intelligence safely,")</f>
        <v>Establish scalable approaches to embed artificial intelligence safely,</v>
      </c>
      <c r="K16" s="12" t="str">
        <f>IFERROR(__xludf.DUMMYFUNCTION("""COMPUTED_VALUE"""),"responsibly and ethically, and ensure collaborative problem-solving is")</f>
        <v>responsibly and ethically, and ensure collaborative problem-solving is</v>
      </c>
      <c r="L16" s="12" t="str">
        <f>IFERROR(__xludf.DUMMYFUNCTION("""COMPUTED_VALUE"""),"included in the learning experience.")</f>
        <v>included in the learning experience.</v>
      </c>
      <c r="M16" s="12"/>
      <c r="N16" s="12"/>
      <c r="O16" s="12"/>
      <c r="P16" s="12"/>
      <c r="Q16" s="12"/>
      <c r="R16" s="12"/>
      <c r="S16" s="12"/>
      <c r="T16" s="12"/>
      <c r="U16" s="12"/>
    </row>
    <row r="17" ht="14.25" customHeight="1">
      <c r="A17" s="12" t="s">
        <v>8</v>
      </c>
      <c r="B17" s="12" t="s">
        <v>353</v>
      </c>
      <c r="C17" s="12" t="str">
        <f t="shared" si="1"/>
        <v>P1.F4</v>
      </c>
      <c r="D17" s="12" t="s">
        <v>369</v>
      </c>
      <c r="E17" s="12" t="s">
        <v>370</v>
      </c>
      <c r="F17" s="12" t="s">
        <v>371</v>
      </c>
      <c r="G17" s="18" t="str">
        <f>IFERROR(__xludf.DUMMYFUNCTION("""COMPUTED_VALUE"""),"Provide PSUs with technical assistance to monitor credits toward graduation
to support PSUs with keeping students on track for graduation.")</f>
        <v>Provide PSUs with technical assistance to monitor credits toward graduation
to support PSUs with keeping students on track for graduation.</v>
      </c>
      <c r="H17" s="18">
        <v>46388.0</v>
      </c>
      <c r="I17" s="12" t="str">
        <f t="shared" si="2"/>
        <v>Starts in January, 2027</v>
      </c>
      <c r="J17" s="12" t="str">
        <f>IFERROR(__xludf.DUMMYFUNCTION("SPLIT(REGEXREPLACE(F17, ""(.{1,76})(?:\s+|$)"", ""$1"" &amp; ""¶""), ""¶"")"),"Provide PSUs with technical assistance to monitor credits toward graduation")</f>
        <v>Provide PSUs with technical assistance to monitor credits toward graduation</v>
      </c>
      <c r="K17" s="12" t="str">
        <f>IFERROR(__xludf.DUMMYFUNCTION("""COMPUTED_VALUE"""),"to support PSUs with keeping students on track for graduation.")</f>
        <v>to support PSUs with keeping students on track for graduation.</v>
      </c>
      <c r="L17" s="12"/>
      <c r="M17" s="12"/>
      <c r="N17" s="12"/>
      <c r="O17" s="12"/>
      <c r="P17" s="12"/>
      <c r="Q17" s="12"/>
      <c r="R17" s="12"/>
      <c r="S17" s="12"/>
      <c r="T17" s="12"/>
      <c r="U17" s="12"/>
    </row>
    <row r="18" ht="14.25" customHeight="1">
      <c r="A18" s="12" t="s">
        <v>8</v>
      </c>
      <c r="B18" s="12" t="s">
        <v>372</v>
      </c>
      <c r="C18" s="12" t="str">
        <f t="shared" si="1"/>
        <v>P1.F5</v>
      </c>
      <c r="D18" s="12" t="s">
        <v>373</v>
      </c>
      <c r="E18" s="12" t="s">
        <v>374</v>
      </c>
      <c r="F18" s="12" t="s">
        <v>375</v>
      </c>
      <c r="G18" s="18" t="str">
        <f>IFERROR(__xludf.DUMMYFUNCTION("""COMPUTED_VALUE"""),"Develop a statewide toolkit to support schools in implementing high-quality
character education that teaches students to be good citizens, as well as
important values, such as respect, responsibility, integrity, perseverance,
courage, justice and self-dis"&amp;"cipline.")</f>
        <v>Develop a statewide toolkit to support schools in implementing high-quality
character education that teaches students to be good citizens, as well as
important values, such as respect, responsibility, integrity, perseverance,
courage, justice and self-discipline.</v>
      </c>
      <c r="H18" s="18">
        <v>46388.0</v>
      </c>
      <c r="I18" s="12" t="str">
        <f t="shared" si="2"/>
        <v>Starts in January, 2027</v>
      </c>
      <c r="J18" s="12" t="str">
        <f>IFERROR(__xludf.DUMMYFUNCTION("SPLIT(REGEXREPLACE(F18, ""(.{1,76})(?:\s+|$)"", ""$1"" &amp; ""¶""), ""¶"")"),"Develop a statewide toolkit to support schools in implementing high-quality")</f>
        <v>Develop a statewide toolkit to support schools in implementing high-quality</v>
      </c>
      <c r="K18" s="12" t="str">
        <f>IFERROR(__xludf.DUMMYFUNCTION("""COMPUTED_VALUE"""),"character education that teaches students to be good citizens, as well as")</f>
        <v>character education that teaches students to be good citizens, as well as</v>
      </c>
      <c r="L18" s="12" t="str">
        <f>IFERROR(__xludf.DUMMYFUNCTION("""COMPUTED_VALUE"""),"important values, such as respect, responsibility, integrity, perseverance,")</f>
        <v>important values, such as respect, responsibility, integrity, perseverance,</v>
      </c>
      <c r="M18" s="12" t="str">
        <f>IFERROR(__xludf.DUMMYFUNCTION("""COMPUTED_VALUE"""),"courage, justice and self-discipline.")</f>
        <v>courage, justice and self-discipline.</v>
      </c>
      <c r="N18" s="12"/>
      <c r="O18" s="12"/>
      <c r="P18" s="12"/>
      <c r="Q18" s="12"/>
      <c r="R18" s="12"/>
      <c r="S18" s="12"/>
      <c r="T18" s="12"/>
      <c r="U18" s="12"/>
    </row>
    <row r="19" ht="14.25" customHeight="1">
      <c r="A19" s="12" t="s">
        <v>8</v>
      </c>
      <c r="B19" s="12" t="s">
        <v>372</v>
      </c>
      <c r="C19" s="12" t="str">
        <f t="shared" si="1"/>
        <v>P1.F5</v>
      </c>
      <c r="D19" s="12" t="s">
        <v>376</v>
      </c>
      <c r="E19" s="12" t="s">
        <v>377</v>
      </c>
      <c r="F19" s="12" t="s">
        <v>378</v>
      </c>
      <c r="G19" s="18" t="str">
        <f>IFERROR(__xludf.DUMMYFUNCTION("""COMPUTED_VALUE"""),"Explore ways to expand service learning programs for students to ensure
every student has access to service learning opportunities.")</f>
        <v>Explore ways to expand service learning programs for students to ensure
every student has access to service learning opportunities.</v>
      </c>
      <c r="H19" s="18">
        <v>46388.0</v>
      </c>
      <c r="I19" s="12" t="str">
        <f t="shared" si="2"/>
        <v>Starts in January, 2027</v>
      </c>
      <c r="J19" s="12" t="str">
        <f>IFERROR(__xludf.DUMMYFUNCTION("SPLIT(REGEXREPLACE(F19, ""(.{1,76})(?:\s+|$)"", ""$1"" &amp; ""¶""), ""¶"")"),"Explore ways to expand service learning programs for students to ensure")</f>
        <v>Explore ways to expand service learning programs for students to ensure</v>
      </c>
      <c r="K19" s="12" t="str">
        <f>IFERROR(__xludf.DUMMYFUNCTION("""COMPUTED_VALUE"""),"every student has access to service learning opportunities.")</f>
        <v>every student has access to service learning opportunities.</v>
      </c>
      <c r="L19" s="12"/>
      <c r="M19" s="12"/>
      <c r="N19" s="12"/>
      <c r="O19" s="12"/>
      <c r="P19" s="12"/>
      <c r="Q19" s="12"/>
      <c r="R19" s="12"/>
      <c r="S19" s="12"/>
      <c r="T19" s="12"/>
      <c r="U19" s="12"/>
    </row>
    <row r="20" ht="14.25" customHeight="1">
      <c r="A20" s="12" t="s">
        <v>8</v>
      </c>
      <c r="B20" s="12" t="s">
        <v>372</v>
      </c>
      <c r="C20" s="12" t="str">
        <f t="shared" si="1"/>
        <v>P1.F5</v>
      </c>
      <c r="D20" s="12" t="s">
        <v>379</v>
      </c>
      <c r="E20" s="12" t="s">
        <v>380</v>
      </c>
      <c r="F20" s="12" t="s">
        <v>381</v>
      </c>
      <c r="G20" s="18" t="str">
        <f>IFERROR(__xludf.DUMMYFUNCTION("""COMPUTED_VALUE"""),"Develop a system for tracking students’ postsecondary transitions, including
to postsecondary education, employment or military service within 12 months
of graduation.")</f>
        <v>Develop a system for tracking students’ postsecondary transitions, including
to postsecondary education, employment or military service within 12 months
of graduation.</v>
      </c>
      <c r="H20" s="18">
        <v>46600.0</v>
      </c>
      <c r="I20" s="12" t="str">
        <f t="shared" si="2"/>
        <v>Starts in August, 2027</v>
      </c>
      <c r="J20" s="12" t="str">
        <f>IFERROR(__xludf.DUMMYFUNCTION("SPLIT(REGEXREPLACE(F20, ""(.{1,76})(?:\s+|$)"", ""$1"" &amp; ""¶""), ""¶"")"),"Develop a system for tracking students’ postsecondary transitions, including")</f>
        <v>Develop a system for tracking students’ postsecondary transitions, including</v>
      </c>
      <c r="K20" s="12" t="str">
        <f>IFERROR(__xludf.DUMMYFUNCTION("""COMPUTED_VALUE"""),"to postsecondary education, employment or military service within 12 months")</f>
        <v>to postsecondary education, employment or military service within 12 months</v>
      </c>
      <c r="L20" s="12" t="str">
        <f>IFERROR(__xludf.DUMMYFUNCTION("""COMPUTED_VALUE"""),"of graduation.")</f>
        <v>of graduation.</v>
      </c>
      <c r="M20" s="12"/>
      <c r="N20" s="12"/>
      <c r="O20" s="12"/>
      <c r="P20" s="12"/>
      <c r="Q20" s="12"/>
      <c r="R20" s="12"/>
      <c r="S20" s="12"/>
      <c r="T20" s="12"/>
      <c r="U20" s="12"/>
    </row>
    <row r="21" ht="14.25" customHeight="1">
      <c r="A21" s="12" t="s">
        <v>8</v>
      </c>
      <c r="B21" s="12" t="s">
        <v>372</v>
      </c>
      <c r="C21" s="12" t="str">
        <f t="shared" si="1"/>
        <v>P1.F5</v>
      </c>
      <c r="D21" s="12" t="s">
        <v>382</v>
      </c>
      <c r="E21" s="12" t="s">
        <v>383</v>
      </c>
      <c r="F21" s="12" t="s">
        <v>384</v>
      </c>
      <c r="G21" s="18" t="str">
        <f>IFERROR(__xludf.DUMMYFUNCTION("""COMPUTED_VALUE"""),"Create awards for student service learning projects at the school and
district levels, as well as a state-level high school diploma endorsement
from NCDPI.")</f>
        <v>Create awards for student service learning projects at the school and
district levels, as well as a state-level high school diploma endorsement
from NCDPI.</v>
      </c>
      <c r="H21" s="18">
        <v>46753.0</v>
      </c>
      <c r="I21" s="12" t="str">
        <f t="shared" si="2"/>
        <v>Starts in January, 2028</v>
      </c>
      <c r="J21" s="12" t="str">
        <f>IFERROR(__xludf.DUMMYFUNCTION("SPLIT(REGEXREPLACE(F21, ""(.{1,76})(?:\s+|$)"", ""$1"" &amp; ""¶""), ""¶"")"),"Create awards for student service learning projects at the school and")</f>
        <v>Create awards for student service learning projects at the school and</v>
      </c>
      <c r="K21" s="12" t="str">
        <f>IFERROR(__xludf.DUMMYFUNCTION("""COMPUTED_VALUE"""),"district levels, as well as a state-level high school diploma endorsement")</f>
        <v>district levels, as well as a state-level high school diploma endorsement</v>
      </c>
      <c r="L21" s="12" t="str">
        <f>IFERROR(__xludf.DUMMYFUNCTION("""COMPUTED_VALUE"""),"from NCDPI.")</f>
        <v>from NCDPI.</v>
      </c>
      <c r="M21" s="12"/>
      <c r="N21" s="12"/>
      <c r="O21" s="12"/>
      <c r="P21" s="12"/>
      <c r="Q21" s="12"/>
      <c r="R21" s="12"/>
      <c r="S21" s="12"/>
      <c r="T21" s="12"/>
      <c r="U21" s="12"/>
    </row>
    <row r="22" ht="14.25" customHeight="1">
      <c r="A22" s="12" t="s">
        <v>8</v>
      </c>
      <c r="B22" s="12" t="s">
        <v>372</v>
      </c>
      <c r="C22" s="12" t="str">
        <f t="shared" si="1"/>
        <v>P1.F5</v>
      </c>
      <c r="D22" s="12" t="s">
        <v>385</v>
      </c>
      <c r="E22" s="12" t="s">
        <v>386</v>
      </c>
      <c r="F22" s="12" t="s">
        <v>387</v>
      </c>
      <c r="G22" s="18" t="str">
        <f>IFERROR(__xludf.DUMMYFUNCTION("""COMPUTED_VALUE"""),"Create and award durable skills endorsements for graduating students who
demonstrate mastery of critical competencies aligned to the Portrait of a
Graduate.")</f>
        <v>Create and award durable skills endorsements for graduating students who
demonstrate mastery of critical competencies aligned to the Portrait of a
Graduate.</v>
      </c>
      <c r="H22" s="18">
        <v>46966.0</v>
      </c>
      <c r="I22" s="12" t="str">
        <f t="shared" si="2"/>
        <v>Starts in August, 2028</v>
      </c>
      <c r="J22" s="12" t="str">
        <f>IFERROR(__xludf.DUMMYFUNCTION("SPLIT(REGEXREPLACE(F22, ""(.{1,76})(?:\s+|$)"", ""$1"" &amp; ""¶""), ""¶"")"),"Create and award durable skills endorsements for graduating students who")</f>
        <v>Create and award durable skills endorsements for graduating students who</v>
      </c>
      <c r="K22" s="12" t="str">
        <f>IFERROR(__xludf.DUMMYFUNCTION("""COMPUTED_VALUE"""),"demonstrate mastery of critical competencies aligned to the Portrait of a")</f>
        <v>demonstrate mastery of critical competencies aligned to the Portrait of a</v>
      </c>
      <c r="L22" s="12" t="str">
        <f>IFERROR(__xludf.DUMMYFUNCTION("""COMPUTED_VALUE"""),"Graduate.")</f>
        <v>Graduate.</v>
      </c>
      <c r="M22" s="12"/>
      <c r="N22" s="12"/>
      <c r="O22" s="12"/>
      <c r="P22" s="12"/>
      <c r="Q22" s="12"/>
      <c r="R22" s="12"/>
      <c r="S22" s="12"/>
      <c r="T22" s="12"/>
      <c r="U22" s="12"/>
    </row>
    <row r="23" ht="14.25" customHeight="1">
      <c r="A23" s="4" t="s">
        <v>14</v>
      </c>
      <c r="B23" s="4" t="s">
        <v>320</v>
      </c>
      <c r="C23" s="4" t="str">
        <f t="shared" si="1"/>
        <v>P2.F1</v>
      </c>
      <c r="D23" s="4" t="s">
        <v>388</v>
      </c>
      <c r="E23" s="12" t="s">
        <v>389</v>
      </c>
      <c r="F23" s="4" t="s">
        <v>390</v>
      </c>
      <c r="G23" s="19" t="str">
        <f>IFERROR(__xludf.DUMMYFUNCTION("""COMPUTED_VALUE"""),"Expand student recruitment programs starting no later than middle school,
such as career academy programs, “Teaching as a Profession” CTE pathways and
other programs to encourage more students to engage in the education
profession.")</f>
        <v>Expand student recruitment programs starting no later than middle school,
such as career academy programs, “Teaching as a Profession” CTE pathways and
other programs to encourage more students to engage in the education
profession.</v>
      </c>
      <c r="H23" s="19">
        <v>46204.0</v>
      </c>
      <c r="I23" s="12" t="str">
        <f t="shared" si="2"/>
        <v>Starts in July, 2026</v>
      </c>
      <c r="J23" s="12" t="str">
        <f>IFERROR(__xludf.DUMMYFUNCTION("SPLIT(REGEXREPLACE(F23, ""(.{1,76})(?:\s+|$)"", ""$1"" &amp; ""¶""), ""¶"")"),"Expand student recruitment programs starting no later than middle school,")</f>
        <v>Expand student recruitment programs starting no later than middle school,</v>
      </c>
      <c r="K23" s="4" t="str">
        <f>IFERROR(__xludf.DUMMYFUNCTION("""COMPUTED_VALUE"""),"such as career academy programs, “Teaching as a Profession” CTE pathways and")</f>
        <v>such as career academy programs, “Teaching as a Profession” CTE pathways and</v>
      </c>
      <c r="L23" s="4" t="str">
        <f>IFERROR(__xludf.DUMMYFUNCTION("""COMPUTED_VALUE"""),"other programs to encourage more students to engage in the education")</f>
        <v>other programs to encourage more students to engage in the education</v>
      </c>
      <c r="M23" s="4" t="str">
        <f>IFERROR(__xludf.DUMMYFUNCTION("""COMPUTED_VALUE"""),"profession.")</f>
        <v>profession.</v>
      </c>
    </row>
    <row r="24" ht="14.25" customHeight="1">
      <c r="A24" s="4" t="s">
        <v>14</v>
      </c>
      <c r="B24" s="4" t="s">
        <v>320</v>
      </c>
      <c r="C24" s="4" t="str">
        <f t="shared" si="1"/>
        <v>P2.F1</v>
      </c>
      <c r="D24" s="4" t="s">
        <v>391</v>
      </c>
      <c r="E24" s="12" t="s">
        <v>392</v>
      </c>
      <c r="F24" s="4" t="s">
        <v>393</v>
      </c>
      <c r="G24" s="19" t="str">
        <f>IFERROR(__xludf.DUMMYFUNCTION("""COMPUTED_VALUE"""),"Revise and strengthen Beginning Teacher (BT) policy and supports, including
exploring a standard statewide definition of BTs and regionalized support
approaches with partners.")</f>
        <v>Revise and strengthen Beginning Teacher (BT) policy and supports, including
exploring a standard statewide definition of BTs and regionalized support
approaches with partners.</v>
      </c>
      <c r="H24" s="19">
        <v>46204.0</v>
      </c>
      <c r="I24" s="12" t="str">
        <f t="shared" si="2"/>
        <v>Starts in July, 2026</v>
      </c>
      <c r="J24" s="12" t="str">
        <f>IFERROR(__xludf.DUMMYFUNCTION("SPLIT(REGEXREPLACE(F24, ""(.{1,76})(?:\s+|$)"", ""$1"" &amp; ""¶""), ""¶"")"),"Revise and strengthen Beginning Teacher (BT) policy and supports, including")</f>
        <v>Revise and strengthen Beginning Teacher (BT) policy and supports, including</v>
      </c>
      <c r="K24" s="4" t="str">
        <f>IFERROR(__xludf.DUMMYFUNCTION("""COMPUTED_VALUE"""),"exploring a standard statewide definition of BTs and regionalized support")</f>
        <v>exploring a standard statewide definition of BTs and regionalized support</v>
      </c>
      <c r="L24" s="4" t="str">
        <f>IFERROR(__xludf.DUMMYFUNCTION("""COMPUTED_VALUE"""),"approaches with partners.")</f>
        <v>approaches with partners.</v>
      </c>
    </row>
    <row r="25" ht="14.25" customHeight="1">
      <c r="A25" s="4" t="s">
        <v>14</v>
      </c>
      <c r="B25" s="4" t="s">
        <v>320</v>
      </c>
      <c r="C25" s="4" t="str">
        <f t="shared" si="1"/>
        <v>P2.F1</v>
      </c>
      <c r="D25" s="4" t="s">
        <v>394</v>
      </c>
      <c r="E25" s="12" t="s">
        <v>395</v>
      </c>
      <c r="F25" s="4" t="s">
        <v>396</v>
      </c>
      <c r="G25" s="19" t="str">
        <f>IFERROR(__xludf.DUMMYFUNCTION("""COMPUTED_VALUE"""),"Develop, adopt and promote statewide standards for high-quality professional
learning to serve as guidance for the design and evaluation of professional
learning opportunities, including microcredentials.")</f>
        <v>Develop, adopt and promote statewide standards for high-quality professional
learning to serve as guidance for the design and evaluation of professional
learning opportunities, including microcredentials.</v>
      </c>
      <c r="H25" s="19">
        <v>46235.0</v>
      </c>
      <c r="I25" s="12" t="str">
        <f t="shared" si="2"/>
        <v>Starts in August, 2026</v>
      </c>
      <c r="J25" s="12" t="str">
        <f>IFERROR(__xludf.DUMMYFUNCTION("SPLIT(REGEXREPLACE(F25, ""(.{1,76})(?:\s+|$)"", ""$1"" &amp; ""¶""), ""¶"")"),"Develop, adopt and promote statewide standards for high-quality professional")</f>
        <v>Develop, adopt and promote statewide standards for high-quality professional</v>
      </c>
      <c r="K25" s="4" t="str">
        <f>IFERROR(__xludf.DUMMYFUNCTION("""COMPUTED_VALUE"""),"learning to serve as guidance for the design and evaluation of professional")</f>
        <v>learning to serve as guidance for the design and evaluation of professional</v>
      </c>
      <c r="L25" s="4" t="str">
        <f>IFERROR(__xludf.DUMMYFUNCTION("""COMPUTED_VALUE"""),"learning opportunities, including microcredentials.")</f>
        <v>learning opportunities, including microcredentials.</v>
      </c>
    </row>
    <row r="26" ht="14.25" customHeight="1">
      <c r="A26" s="4" t="s">
        <v>14</v>
      </c>
      <c r="B26" s="4" t="s">
        <v>320</v>
      </c>
      <c r="C26" s="4" t="str">
        <f t="shared" si="1"/>
        <v>P2.F1</v>
      </c>
      <c r="D26" s="4" t="s">
        <v>397</v>
      </c>
      <c r="E26" s="12" t="s">
        <v>398</v>
      </c>
      <c r="F26" s="4" t="s">
        <v>399</v>
      </c>
      <c r="G26" s="20" t="str">
        <f>IFERROR(__xludf.DUMMYFUNCTION("""COMPUTED_VALUE"""),"Advocate for expanding the teacher pipeline and lowering financial barriers
to entering the profession, in partnership with EPPs.")</f>
        <v>Advocate for expanding the teacher pipeline and lowering financial barriers
to entering the profession, in partnership with EPPs.</v>
      </c>
      <c r="H26" s="20">
        <v>46388.0</v>
      </c>
      <c r="I26" s="12" t="str">
        <f t="shared" si="2"/>
        <v>Starts in January, 2027</v>
      </c>
      <c r="J26" s="12" t="str">
        <f>IFERROR(__xludf.DUMMYFUNCTION("SPLIT(REGEXREPLACE(F26, ""(.{1,76})(?:\s+|$)"", ""$1"" &amp; ""¶""), ""¶"")"),"Advocate for expanding the teacher pipeline and lowering financial barriers")</f>
        <v>Advocate for expanding the teacher pipeline and lowering financial barriers</v>
      </c>
      <c r="K26" s="4" t="str">
        <f>IFERROR(__xludf.DUMMYFUNCTION("""COMPUTED_VALUE"""),"to entering the profession, in partnership with EPPs.")</f>
        <v>to entering the profession, in partnership with EPPs.</v>
      </c>
    </row>
    <row r="27" ht="14.25" customHeight="1">
      <c r="A27" s="4" t="s">
        <v>14</v>
      </c>
      <c r="B27" s="4" t="s">
        <v>330</v>
      </c>
      <c r="C27" s="4" t="str">
        <f t="shared" si="1"/>
        <v>P2.F2</v>
      </c>
      <c r="D27" s="4" t="s">
        <v>400</v>
      </c>
      <c r="E27" s="12" t="s">
        <v>401</v>
      </c>
      <c r="F27" s="4" t="s">
        <v>402</v>
      </c>
      <c r="G27" s="19" t="str">
        <f>IFERROR(__xludf.DUMMYFUNCTION("""COMPUTED_VALUE"""),"Advocate for continued expansion of the Advanced Teaching Roles program.
valid and reliable measures of teacher impact and effectiveness.")</f>
        <v>Advocate for continued expansion of the Advanced Teaching Roles program.
valid and reliable measures of teacher impact and effectiveness.</v>
      </c>
      <c r="H27" s="19">
        <v>45870.0</v>
      </c>
      <c r="I27" s="12" t="str">
        <f t="shared" si="2"/>
        <v>Starts in August, 2025</v>
      </c>
      <c r="J27" s="12" t="str">
        <f>IFERROR(__xludf.DUMMYFUNCTION("SPLIT(REGEXREPLACE(F27, ""(.{1,76})(?:\s+|$)"", ""$1"" &amp; ""¶""), ""¶"")"),"Advocate for continued expansion of the Advanced Teaching Roles program.")</f>
        <v>Advocate for continued expansion of the Advanced Teaching Roles program.</v>
      </c>
      <c r="K27" s="4" t="str">
        <f>IFERROR(__xludf.DUMMYFUNCTION("""COMPUTED_VALUE"""),"valid and reliable measures of teacher impact and effectiveness.")</f>
        <v>valid and reliable measures of teacher impact and effectiveness.</v>
      </c>
    </row>
    <row r="28" ht="14.25" customHeight="1">
      <c r="A28" s="4" t="s">
        <v>14</v>
      </c>
      <c r="B28" s="4" t="s">
        <v>330</v>
      </c>
      <c r="C28" s="4" t="str">
        <f t="shared" si="1"/>
        <v>P2.F2</v>
      </c>
      <c r="D28" s="4" t="s">
        <v>403</v>
      </c>
      <c r="E28" s="12" t="s">
        <v>404</v>
      </c>
      <c r="F28" s="4" t="s">
        <v>405</v>
      </c>
      <c r="G28" s="19" t="str">
        <f>IFERROR(__xludf.DUMMYFUNCTION("""COMPUTED_VALUE"""),"Develop a uniform NCDPI model for instructional coaching that integrates
literacy, numeracy and supports for low-performing schools.")</f>
        <v>Develop a uniform NCDPI model for instructional coaching that integrates
literacy, numeracy and supports for low-performing schools.</v>
      </c>
      <c r="H28" s="19">
        <v>46204.0</v>
      </c>
      <c r="I28" s="12" t="str">
        <f t="shared" si="2"/>
        <v>Starts in July, 2026</v>
      </c>
      <c r="J28" s="12" t="str">
        <f>IFERROR(__xludf.DUMMYFUNCTION("SPLIT(REGEXREPLACE(F28, ""(.{1,76})(?:\s+|$)"", ""$1"" &amp; ""¶""), ""¶"")"),"Develop a uniform NCDPI model for instructional coaching that integrates")</f>
        <v>Develop a uniform NCDPI model for instructional coaching that integrates</v>
      </c>
      <c r="K28" s="4" t="str">
        <f>IFERROR(__xludf.DUMMYFUNCTION("""COMPUTED_VALUE"""),"literacy, numeracy and supports for low-performing schools.")</f>
        <v>literacy, numeracy and supports for low-performing schools.</v>
      </c>
    </row>
    <row r="29" ht="14.25" customHeight="1">
      <c r="A29" s="4" t="s">
        <v>14</v>
      </c>
      <c r="B29" s="4" t="s">
        <v>330</v>
      </c>
      <c r="C29" s="4" t="str">
        <f t="shared" si="1"/>
        <v>P2.F2</v>
      </c>
      <c r="D29" s="4" t="s">
        <v>406</v>
      </c>
      <c r="E29" s="12" t="s">
        <v>407</v>
      </c>
      <c r="F29" s="4" t="s">
        <v>408</v>
      </c>
      <c r="G29" s="19" t="str">
        <f>IFERROR(__xludf.DUMMYFUNCTION("""COMPUTED_VALUE"""),"Continue to expand leadership academies in collaboration with state and
regional partners for aspiring principals and superintendents, particularly
in high-poverty and low-performing schools and provide specialized
professional learning for financial offi"&amp;"cers and charter leaders to
strengthen strategic management.")</f>
        <v>Continue to expand leadership academies in collaboration with state and
regional partners for aspiring principals and superintendents, particularly
in high-poverty and low-performing schools and provide specialized
professional learning for financial officers and charter leaders to
strengthen strategic management.</v>
      </c>
      <c r="H29" s="19">
        <v>46569.0</v>
      </c>
      <c r="I29" s="12" t="str">
        <f t="shared" si="2"/>
        <v>Starts in July, 2027</v>
      </c>
      <c r="J29" s="12" t="str">
        <f>IFERROR(__xludf.DUMMYFUNCTION("SPLIT(REGEXREPLACE(F29, ""(.{1,76})(?:\s+|$)"", ""$1"" &amp; ""¶""), ""¶"")"),"Continue to expand leadership academies in collaboration with state and")</f>
        <v>Continue to expand leadership academies in collaboration with state and</v>
      </c>
      <c r="K29" s="4" t="str">
        <f>IFERROR(__xludf.DUMMYFUNCTION("""COMPUTED_VALUE"""),"regional partners for aspiring principals and superintendents, particularly")</f>
        <v>regional partners for aspiring principals and superintendents, particularly</v>
      </c>
      <c r="L29" s="4" t="str">
        <f>IFERROR(__xludf.DUMMYFUNCTION("""COMPUTED_VALUE"""),"in high-poverty and low-performing schools and provide specialized")</f>
        <v>in high-poverty and low-performing schools and provide specialized</v>
      </c>
      <c r="M29" s="4" t="str">
        <f>IFERROR(__xludf.DUMMYFUNCTION("""COMPUTED_VALUE"""),"professional learning for financial officers and charter leaders to")</f>
        <v>professional learning for financial officers and charter leaders to</v>
      </c>
      <c r="N29" s="4" t="str">
        <f>IFERROR(__xludf.DUMMYFUNCTION("""COMPUTED_VALUE"""),"strengthen strategic management.")</f>
        <v>strengthen strategic management.</v>
      </c>
    </row>
    <row r="30" ht="14.25" customHeight="1">
      <c r="A30" s="4" t="s">
        <v>14</v>
      </c>
      <c r="B30" s="4" t="s">
        <v>340</v>
      </c>
      <c r="C30" s="4" t="str">
        <f t="shared" si="1"/>
        <v>P2.F3</v>
      </c>
      <c r="D30" s="4" t="s">
        <v>409</v>
      </c>
      <c r="E30" s="12" t="s">
        <v>410</v>
      </c>
      <c r="F30" s="4" t="s">
        <v>411</v>
      </c>
      <c r="G30" s="20" t="str">
        <f>IFERROR(__xludf.DUMMYFUNCTION("""COMPUTED_VALUE"""),"Advocate to the North Carolina General Assembly, in partnership with
educators, business leaders and community leaders, for competitive teacher,
principal and other school staff compensation, including pay for advanced
degrees.")</f>
        <v>Advocate to the North Carolina General Assembly, in partnership with
educators, business leaders and community leaders, for competitive teacher,
principal and other school staff compensation, including pay for advanced
degrees.</v>
      </c>
      <c r="H30" s="20">
        <v>46327.0</v>
      </c>
      <c r="I30" s="12" t="str">
        <f t="shared" si="2"/>
        <v>Starts in November, 2026</v>
      </c>
      <c r="J30" s="12" t="str">
        <f>IFERROR(__xludf.DUMMYFUNCTION("SPLIT(REGEXREPLACE(F30, ""(.{1,76})(?:\s+|$)"", ""$1"" &amp; ""¶""), ""¶"")"),"Advocate to the North Carolina General Assembly, in partnership with")</f>
        <v>Advocate to the North Carolina General Assembly, in partnership with</v>
      </c>
      <c r="K30" s="4" t="str">
        <f>IFERROR(__xludf.DUMMYFUNCTION("""COMPUTED_VALUE"""),"educators, business leaders and community leaders, for competitive teacher,")</f>
        <v>educators, business leaders and community leaders, for competitive teacher,</v>
      </c>
      <c r="L30" s="4" t="str">
        <f>IFERROR(__xludf.DUMMYFUNCTION("""COMPUTED_VALUE"""),"principal and other school staff compensation, including pay for advanced")</f>
        <v>principal and other school staff compensation, including pay for advanced</v>
      </c>
      <c r="M30" s="4" t="str">
        <f>IFERROR(__xludf.DUMMYFUNCTION("""COMPUTED_VALUE"""),"degrees.")</f>
        <v>degrees.</v>
      </c>
    </row>
    <row r="31" ht="14.25" customHeight="1">
      <c r="A31" s="4" t="s">
        <v>14</v>
      </c>
      <c r="B31" s="4" t="s">
        <v>340</v>
      </c>
      <c r="C31" s="4" t="str">
        <f t="shared" si="1"/>
        <v>P2.F3</v>
      </c>
      <c r="D31" s="4" t="s">
        <v>412</v>
      </c>
      <c r="E31" s="12" t="s">
        <v>413</v>
      </c>
      <c r="F31" s="4" t="s">
        <v>414</v>
      </c>
      <c r="G31" s="19" t="str">
        <f>IFERROR(__xludf.DUMMYFUNCTION("""COMPUTED_VALUE"""),"Develop and advocate for a revised principal compensation model with
partners that includes increased base pay, factors for school complexity and
retention incentives to better attract and keep leaders in the schools that
need them most.")</f>
        <v>Develop and advocate for a revised principal compensation model with
partners that includes increased base pay, factors for school complexity and
retention incentives to better attract and keep leaders in the schools that
need them most.</v>
      </c>
      <c r="H31" s="19">
        <v>46327.0</v>
      </c>
      <c r="I31" s="12" t="str">
        <f t="shared" si="2"/>
        <v>Starts in November, 2026</v>
      </c>
      <c r="J31" s="12" t="str">
        <f>IFERROR(__xludf.DUMMYFUNCTION("SPLIT(REGEXREPLACE(F31, ""(.{1,76})(?:\s+|$)"", ""$1"" &amp; ""¶""), ""¶"")"),"Develop and advocate for a revised principal compensation model with")</f>
        <v>Develop and advocate for a revised principal compensation model with</v>
      </c>
      <c r="K31" s="4" t="str">
        <f>IFERROR(__xludf.DUMMYFUNCTION("""COMPUTED_VALUE"""),"partners that includes increased base pay, factors for school complexity and")</f>
        <v>partners that includes increased base pay, factors for school complexity and</v>
      </c>
      <c r="L31" s="4" t="str">
        <f>IFERROR(__xludf.DUMMYFUNCTION("""COMPUTED_VALUE"""),"retention incentives to better attract and keep leaders in the schools that")</f>
        <v>retention incentives to better attract and keep leaders in the schools that</v>
      </c>
      <c r="M31" s="4" t="str">
        <f>IFERROR(__xludf.DUMMYFUNCTION("""COMPUTED_VALUE"""),"need them most.")</f>
        <v>need them most.</v>
      </c>
    </row>
    <row r="32" ht="14.25" customHeight="1">
      <c r="A32" s="4" t="s">
        <v>14</v>
      </c>
      <c r="B32" s="4" t="s">
        <v>353</v>
      </c>
      <c r="C32" s="4" t="str">
        <f t="shared" si="1"/>
        <v>P2.F4</v>
      </c>
      <c r="D32" s="4" t="s">
        <v>415</v>
      </c>
      <c r="E32" s="12" t="s">
        <v>416</v>
      </c>
      <c r="F32" s="4" t="s">
        <v>417</v>
      </c>
      <c r="G32" s="19" t="str">
        <f>IFERROR(__xludf.DUMMYFUNCTION("""COMPUTED_VALUE"""),"Engage with local boards of education to honor teachers and principals of
the year, expand meaningful advisor roles for students, teachers and
principals at the district and state levels and identify additional ways to
publicly recognize educator excellen"&amp;"ce.")</f>
        <v>Engage with local boards of education to honor teachers and principals of
the year, expand meaningful advisor roles for students, teachers and
principals at the district and state levels and identify additional ways to
publicly recognize educator excellence.</v>
      </c>
      <c r="H32" s="19">
        <v>46204.0</v>
      </c>
      <c r="I32" s="12" t="str">
        <f t="shared" si="2"/>
        <v>Starts in July, 2026</v>
      </c>
      <c r="J32" s="12" t="str">
        <f>IFERROR(__xludf.DUMMYFUNCTION("SPLIT(REGEXREPLACE(F32, ""(.{1,76})(?:\s+|$)"", ""$1"" &amp; ""¶""), ""¶"")"),"Engage with local boards of education to honor teachers and principals of")</f>
        <v>Engage with local boards of education to honor teachers and principals of</v>
      </c>
      <c r="K32" s="4" t="str">
        <f>IFERROR(__xludf.DUMMYFUNCTION("""COMPUTED_VALUE"""),"the year, expand meaningful advisor roles for students, teachers and")</f>
        <v>the year, expand meaningful advisor roles for students, teachers and</v>
      </c>
      <c r="L32" s="4" t="str">
        <f>IFERROR(__xludf.DUMMYFUNCTION("""COMPUTED_VALUE"""),"principals at the district and state levels and identify additional ways to")</f>
        <v>principals at the district and state levels and identify additional ways to</v>
      </c>
      <c r="M32" s="4" t="str">
        <f>IFERROR(__xludf.DUMMYFUNCTION("""COMPUTED_VALUE"""),"publicly recognize educator excellence.")</f>
        <v>publicly recognize educator excellence.</v>
      </c>
    </row>
    <row r="33" ht="14.25" customHeight="1">
      <c r="A33" s="4" t="s">
        <v>14</v>
      </c>
      <c r="B33" s="4" t="s">
        <v>353</v>
      </c>
      <c r="C33" s="4" t="str">
        <f t="shared" si="1"/>
        <v>P2.F4</v>
      </c>
      <c r="D33" s="4" t="s">
        <v>418</v>
      </c>
      <c r="E33" s="12" t="s">
        <v>419</v>
      </c>
      <c r="F33" s="4" t="s">
        <v>420</v>
      </c>
      <c r="G33" s="19" t="str">
        <f>IFERROR(__xludf.DUMMYFUNCTION("""COMPUTED_VALUE"""),"Explore models that increase instructional capacity by reducing burden on
teachers, including eliminating or significantly reducing unpaid teacher
duties, streamlining compliance processes, increasing teacher planning time
and increasing flexible scheduli"&amp;"ng.")</f>
        <v>Explore models that increase instructional capacity by reducing burden on
teachers, including eliminating or significantly reducing unpaid teacher
duties, streamlining compliance processes, increasing teacher planning time
and increasing flexible scheduling.</v>
      </c>
      <c r="H33" s="19">
        <v>46235.0</v>
      </c>
      <c r="I33" s="12" t="str">
        <f t="shared" si="2"/>
        <v>Starts in August, 2026</v>
      </c>
      <c r="J33" s="12" t="str">
        <f>IFERROR(__xludf.DUMMYFUNCTION("SPLIT(REGEXREPLACE(F33, ""(.{1,76})(?:\s+|$)"", ""$1"" &amp; ""¶""), ""¶"")"),"Explore models that increase instructional capacity by reducing burden on")</f>
        <v>Explore models that increase instructional capacity by reducing burden on</v>
      </c>
      <c r="K33" s="4" t="str">
        <f>IFERROR(__xludf.DUMMYFUNCTION("""COMPUTED_VALUE"""),"teachers, including eliminating or significantly reducing unpaid teacher")</f>
        <v>teachers, including eliminating or significantly reducing unpaid teacher</v>
      </c>
      <c r="L33" s="4" t="str">
        <f>IFERROR(__xludf.DUMMYFUNCTION("""COMPUTED_VALUE"""),"duties, streamlining compliance processes, increasing teacher planning time")</f>
        <v>duties, streamlining compliance processes, increasing teacher planning time</v>
      </c>
      <c r="M33" s="4" t="str">
        <f>IFERROR(__xludf.DUMMYFUNCTION("""COMPUTED_VALUE"""),"and increasing flexible scheduling.")</f>
        <v>and increasing flexible scheduling.</v>
      </c>
    </row>
    <row r="34" ht="14.25" customHeight="1">
      <c r="A34" s="4" t="s">
        <v>14</v>
      </c>
      <c r="B34" s="4" t="s">
        <v>353</v>
      </c>
      <c r="C34" s="4" t="str">
        <f t="shared" si="1"/>
        <v>P2.F4</v>
      </c>
      <c r="D34" s="4" t="s">
        <v>421</v>
      </c>
      <c r="E34" s="12" t="s">
        <v>422</v>
      </c>
      <c r="F34" s="4" t="s">
        <v>423</v>
      </c>
      <c r="G34" s="19" t="str">
        <f>IFERROR(__xludf.DUMMYFUNCTION("""COMPUTED_VALUE"""),"Launch a statewide teacher reverence initiative that highlights educator
stories and contributions, trains educators to serve as recruiters of future
teachers and partners with local chambers of commerce and community
organizations to celebrate and suppor"&amp;"t local public school educators.")</f>
        <v>Launch a statewide teacher reverence initiative that highlights educator
stories and contributions, trains educators to serve as recruiters of future
teachers and partners with local chambers of commerce and community
organizations to celebrate and support local public school educators.</v>
      </c>
      <c r="H34" s="19">
        <v>46388.0</v>
      </c>
      <c r="I34" s="12" t="str">
        <f t="shared" si="2"/>
        <v>Starts in January, 2027</v>
      </c>
      <c r="J34" s="12" t="str">
        <f>IFERROR(__xludf.DUMMYFUNCTION("SPLIT(REGEXREPLACE(F34, ""(.{1,76})(?:\s+|$)"", ""$1"" &amp; ""¶""), ""¶"")"),"Launch a statewide teacher reverence initiative that highlights educator")</f>
        <v>Launch a statewide teacher reverence initiative that highlights educator</v>
      </c>
      <c r="K34" s="4" t="str">
        <f>IFERROR(__xludf.DUMMYFUNCTION("""COMPUTED_VALUE"""),"stories and contributions, trains educators to serve as recruiters of future")</f>
        <v>stories and contributions, trains educators to serve as recruiters of future</v>
      </c>
      <c r="L34" s="4" t="str">
        <f>IFERROR(__xludf.DUMMYFUNCTION("""COMPUTED_VALUE"""),"teachers and partners with local chambers of commerce and community")</f>
        <v>teachers and partners with local chambers of commerce and community</v>
      </c>
      <c r="M34" s="4" t="str">
        <f>IFERROR(__xludf.DUMMYFUNCTION("""COMPUTED_VALUE"""),"organizations to celebrate and support local public school educators.")</f>
        <v>organizations to celebrate and support local public school educators.</v>
      </c>
    </row>
    <row r="35" ht="14.25" customHeight="1">
      <c r="A35" s="12" t="s">
        <v>19</v>
      </c>
      <c r="B35" s="12" t="s">
        <v>320</v>
      </c>
      <c r="C35" s="12" t="str">
        <f t="shared" si="1"/>
        <v>P3.F1</v>
      </c>
      <c r="D35" s="12" t="s">
        <v>424</v>
      </c>
      <c r="E35" s="12" t="s">
        <v>425</v>
      </c>
      <c r="F35" s="12" t="s">
        <v>426</v>
      </c>
      <c r="G35" s="18" t="str">
        <f>IFERROR(__xludf.DUMMYFUNCTION("""COMPUTED_VALUE"""),"Identify ways to develop translations of NCDPI resources based on student
demographics.")</f>
        <v>Identify ways to develop translations of NCDPI resources based on student
demographics.</v>
      </c>
      <c r="H35" s="18">
        <v>46023.0</v>
      </c>
      <c r="I35" s="12" t="str">
        <f t="shared" si="2"/>
        <v>Starts in January, 2026</v>
      </c>
      <c r="J35" s="12" t="str">
        <f>IFERROR(__xludf.DUMMYFUNCTION("SPLIT(REGEXREPLACE(F35, ""(.{1,76})(?:\s+|$)"", ""$1"" &amp; ""¶""), ""¶"")"),"Identify ways to develop translations of NCDPI resources based on student")</f>
        <v>Identify ways to develop translations of NCDPI resources based on student</v>
      </c>
      <c r="K35" s="12" t="str">
        <f>IFERROR(__xludf.DUMMYFUNCTION("""COMPUTED_VALUE"""),"demographics.")</f>
        <v>demographics.</v>
      </c>
      <c r="L35" s="12"/>
      <c r="M35" s="12"/>
      <c r="N35" s="12"/>
      <c r="O35" s="12"/>
      <c r="P35" s="12"/>
      <c r="Q35" s="12"/>
      <c r="R35" s="12"/>
      <c r="S35" s="12"/>
      <c r="T35" s="12"/>
      <c r="U35" s="12"/>
    </row>
    <row r="36" ht="14.25" customHeight="1">
      <c r="A36" s="12" t="s">
        <v>19</v>
      </c>
      <c r="B36" s="12" t="s">
        <v>320</v>
      </c>
      <c r="C36" s="12" t="str">
        <f t="shared" si="1"/>
        <v>P3.F1</v>
      </c>
      <c r="D36" s="12" t="s">
        <v>427</v>
      </c>
      <c r="E36" s="12" t="s">
        <v>428</v>
      </c>
      <c r="F36" s="12" t="s">
        <v>429</v>
      </c>
      <c r="G36" s="18" t="str">
        <f>IFERROR(__xludf.DUMMYFUNCTION("""COMPUTED_VALUE"""),"Conduct a comprehensive needs assessment of parent and community resources
at NCDPI (personnel, funds, training, instruments, current activities,
etc.).")</f>
        <v>Conduct a comprehensive needs assessment of parent and community resources
at NCDPI (personnel, funds, training, instruments, current activities,
etc.).</v>
      </c>
      <c r="H36" s="18">
        <v>46082.0</v>
      </c>
      <c r="I36" s="12" t="str">
        <f t="shared" si="2"/>
        <v>Starts in March, 2026</v>
      </c>
      <c r="J36" s="12" t="str">
        <f>IFERROR(__xludf.DUMMYFUNCTION("SPLIT(REGEXREPLACE(F36, ""(.{1,76})(?:\s+|$)"", ""$1"" &amp; ""¶""), ""¶"")"),"Conduct a comprehensive needs assessment of parent and community resources")</f>
        <v>Conduct a comprehensive needs assessment of parent and community resources</v>
      </c>
      <c r="K36" s="12" t="str">
        <f>IFERROR(__xludf.DUMMYFUNCTION("""COMPUTED_VALUE"""),"at NCDPI (personnel, funds, training, instruments, current activities,")</f>
        <v>at NCDPI (personnel, funds, training, instruments, current activities,</v>
      </c>
      <c r="L36" s="12" t="str">
        <f>IFERROR(__xludf.DUMMYFUNCTION("""COMPUTED_VALUE"""),"etc.).")</f>
        <v>etc.).</v>
      </c>
      <c r="M36" s="12"/>
      <c r="N36" s="12"/>
      <c r="O36" s="12"/>
      <c r="P36" s="12"/>
      <c r="Q36" s="12"/>
      <c r="R36" s="12"/>
      <c r="S36" s="12"/>
      <c r="T36" s="12"/>
      <c r="U36" s="12"/>
    </row>
    <row r="37" ht="14.25" customHeight="1">
      <c r="A37" s="12" t="s">
        <v>19</v>
      </c>
      <c r="B37" s="12" t="s">
        <v>320</v>
      </c>
      <c r="C37" s="12" t="str">
        <f t="shared" si="1"/>
        <v>P3.F1</v>
      </c>
      <c r="D37" s="12" t="s">
        <v>430</v>
      </c>
      <c r="E37" s="12" t="s">
        <v>431</v>
      </c>
      <c r="F37" s="12" t="s">
        <v>432</v>
      </c>
      <c r="G37" s="18" t="str">
        <f>IFERROR(__xludf.DUMMYFUNCTION("""COMPUTED_VALUE"""),"Form an advisory group to play a role in needs identification,
decision-making and plans to enhance parent, family and community
engagement.")</f>
        <v>Form an advisory group to play a role in needs identification,
decision-making and plans to enhance parent, family and community
engagement.</v>
      </c>
      <c r="H37" s="18">
        <v>46082.0</v>
      </c>
      <c r="I37" s="12" t="str">
        <f t="shared" si="2"/>
        <v>Starts in March, 2026</v>
      </c>
      <c r="J37" s="12" t="str">
        <f>IFERROR(__xludf.DUMMYFUNCTION("SPLIT(REGEXREPLACE(F37, ""(.{1,76})(?:\s+|$)"", ""$1"" &amp; ""¶""), ""¶"")"),"Form an advisory group to play a role in needs identification,")</f>
        <v>Form an advisory group to play a role in needs identification,</v>
      </c>
      <c r="K37" s="12" t="str">
        <f>IFERROR(__xludf.DUMMYFUNCTION("""COMPUTED_VALUE"""),"decision-making and plans to enhance parent, family and community")</f>
        <v>decision-making and plans to enhance parent, family and community</v>
      </c>
      <c r="L37" s="12" t="str">
        <f>IFERROR(__xludf.DUMMYFUNCTION("""COMPUTED_VALUE"""),"engagement.")</f>
        <v>engagement.</v>
      </c>
      <c r="M37" s="12"/>
      <c r="N37" s="12"/>
      <c r="O37" s="12"/>
      <c r="P37" s="12"/>
      <c r="Q37" s="12"/>
      <c r="R37" s="12"/>
      <c r="S37" s="12"/>
      <c r="T37" s="12"/>
      <c r="U37" s="12"/>
    </row>
    <row r="38" ht="14.25" customHeight="1">
      <c r="A38" s="12" t="s">
        <v>19</v>
      </c>
      <c r="B38" s="12" t="s">
        <v>320</v>
      </c>
      <c r="C38" s="12" t="str">
        <f t="shared" si="1"/>
        <v>P3.F1</v>
      </c>
      <c r="D38" s="12" t="s">
        <v>433</v>
      </c>
      <c r="E38" s="12" t="s">
        <v>434</v>
      </c>
      <c r="F38" s="12" t="s">
        <v>435</v>
      </c>
      <c r="G38" s="18" t="str">
        <f>IFERROR(__xludf.DUMMYFUNCTION("""COMPUTED_VALUE"""),"Promote collaboration and partner with PSUs to share best practices on
effective communication between schools and families.")</f>
        <v>Promote collaboration and partner with PSUs to share best practices on
effective communication between schools and families.</v>
      </c>
      <c r="H38" s="18">
        <v>46174.0</v>
      </c>
      <c r="I38" s="12" t="str">
        <f t="shared" si="2"/>
        <v>Starts in June, 2026</v>
      </c>
      <c r="J38" s="12" t="str">
        <f>IFERROR(__xludf.DUMMYFUNCTION("SPLIT(REGEXREPLACE(F38, ""(.{1,76})(?:\s+|$)"", ""$1"" &amp; ""¶""), ""¶"")"),"Promote collaboration and partner with PSUs to share best practices on")</f>
        <v>Promote collaboration and partner with PSUs to share best practices on</v>
      </c>
      <c r="K38" s="12" t="str">
        <f>IFERROR(__xludf.DUMMYFUNCTION("""COMPUTED_VALUE"""),"effective communication between schools and families.")</f>
        <v>effective communication between schools and families.</v>
      </c>
      <c r="L38" s="12"/>
      <c r="M38" s="12"/>
      <c r="N38" s="12"/>
      <c r="O38" s="12"/>
      <c r="P38" s="12"/>
      <c r="Q38" s="12"/>
      <c r="R38" s="12"/>
      <c r="S38" s="12"/>
      <c r="T38" s="12"/>
      <c r="U38" s="12"/>
    </row>
    <row r="39" ht="14.25" customHeight="1">
      <c r="A39" s="12" t="s">
        <v>19</v>
      </c>
      <c r="B39" s="12" t="s">
        <v>320</v>
      </c>
      <c r="C39" s="12" t="str">
        <f t="shared" si="1"/>
        <v>P3.F1</v>
      </c>
      <c r="D39" s="12" t="s">
        <v>436</v>
      </c>
      <c r="E39" s="12" t="s">
        <v>437</v>
      </c>
      <c r="F39" s="12" t="s">
        <v>438</v>
      </c>
      <c r="G39" s="21" t="str">
        <f>IFERROR(__xludf.DUMMYFUNCTION("""COMPUTED_VALUE"""),"Create a virtual NCDPI Family Academy that could be linked to PSU websites
that will offer accessible, webinar-style learning sessions for families.")</f>
        <v>Create a virtual NCDPI Family Academy that could be linked to PSU websites
that will offer accessible, webinar-style learning sessions for families.</v>
      </c>
      <c r="H39" s="21">
        <v>46508.0</v>
      </c>
      <c r="I39" s="12" t="str">
        <f t="shared" si="2"/>
        <v>Starts in May, 2027</v>
      </c>
      <c r="J39" s="12" t="str">
        <f>IFERROR(__xludf.DUMMYFUNCTION("SPLIT(REGEXREPLACE(F39, ""(.{1,76})(?:\s+|$)"", ""$1"" &amp; ""¶""), ""¶"")"),"Create a virtual NCDPI Family Academy that could be linked to PSU websites")</f>
        <v>Create a virtual NCDPI Family Academy that could be linked to PSU websites</v>
      </c>
      <c r="K39" s="12" t="str">
        <f>IFERROR(__xludf.DUMMYFUNCTION("""COMPUTED_VALUE"""),"that will offer accessible, webinar-style learning sessions for families.")</f>
        <v>that will offer accessible, webinar-style learning sessions for families.</v>
      </c>
      <c r="L39" s="12"/>
      <c r="M39" s="12"/>
      <c r="N39" s="12"/>
      <c r="O39" s="12"/>
      <c r="P39" s="12"/>
      <c r="Q39" s="12"/>
      <c r="R39" s="12"/>
      <c r="S39" s="12"/>
      <c r="T39" s="12"/>
      <c r="U39" s="12"/>
    </row>
    <row r="40" ht="14.25" customHeight="1">
      <c r="A40" s="12" t="s">
        <v>19</v>
      </c>
      <c r="B40" s="12" t="s">
        <v>330</v>
      </c>
      <c r="C40" s="12" t="str">
        <f t="shared" si="1"/>
        <v>P3.F2</v>
      </c>
      <c r="D40" s="12" t="s">
        <v>439</v>
      </c>
      <c r="E40" s="12" t="s">
        <v>440</v>
      </c>
      <c r="F40" s="12" t="s">
        <v>441</v>
      </c>
      <c r="G40" s="18" t="str">
        <f>IFERROR(__xludf.DUMMYFUNCTION("""COMPUTED_VALUE"""),"Engage philanthropic and business communities to fund and support research
and adoption of innovative school models.")</f>
        <v>Engage philanthropic and business communities to fund and support research
and adoption of innovative school models.</v>
      </c>
      <c r="H40" s="18">
        <v>46174.0</v>
      </c>
      <c r="I40" s="12" t="str">
        <f t="shared" si="2"/>
        <v>Starts in June, 2026</v>
      </c>
      <c r="J40" s="12" t="str">
        <f>IFERROR(__xludf.DUMMYFUNCTION("SPLIT(REGEXREPLACE(F40, ""(.{1,76})(?:\s+|$)"", ""$1"" &amp; ""¶""), ""¶"")"),"Engage philanthropic and business communities to fund and support research")</f>
        <v>Engage philanthropic and business communities to fund and support research</v>
      </c>
      <c r="K40" s="12" t="str">
        <f>IFERROR(__xludf.DUMMYFUNCTION("""COMPUTED_VALUE"""),"and adoption of innovative school models.")</f>
        <v>and adoption of innovative school models.</v>
      </c>
      <c r="L40" s="12"/>
      <c r="M40" s="12"/>
      <c r="N40" s="12"/>
      <c r="O40" s="12"/>
      <c r="P40" s="12"/>
      <c r="Q40" s="12"/>
      <c r="R40" s="12"/>
      <c r="S40" s="12"/>
      <c r="T40" s="12"/>
      <c r="U40" s="12"/>
    </row>
    <row r="41" ht="14.25" customHeight="1">
      <c r="A41" s="12" t="s">
        <v>19</v>
      </c>
      <c r="B41" s="12" t="s">
        <v>330</v>
      </c>
      <c r="C41" s="12" t="str">
        <f t="shared" si="1"/>
        <v>P3.F2</v>
      </c>
      <c r="D41" s="12" t="s">
        <v>442</v>
      </c>
      <c r="E41" s="12" t="s">
        <v>443</v>
      </c>
      <c r="F41" s="12" t="s">
        <v>444</v>
      </c>
      <c r="G41" s="21" t="str">
        <f>IFERROR(__xludf.DUMMYFUNCTION("""COMPUTED_VALUE"""),"Promote partnerships between PSUs and local community organizations to
provide support for families, especially in underserved areas.")</f>
        <v>Promote partnerships between PSUs and local community organizations to
provide support for families, especially in underserved areas.</v>
      </c>
      <c r="H41" s="21">
        <v>46388.0</v>
      </c>
      <c r="I41" s="12" t="str">
        <f t="shared" si="2"/>
        <v>Starts in January, 2027</v>
      </c>
      <c r="J41" s="12" t="str">
        <f>IFERROR(__xludf.DUMMYFUNCTION("SPLIT(REGEXREPLACE(F41, ""(.{1,76})(?:\s+|$)"", ""$1"" &amp; ""¶""), ""¶"")"),"Promote partnerships between PSUs and local community organizations to")</f>
        <v>Promote partnerships between PSUs and local community organizations to</v>
      </c>
      <c r="K41" s="12" t="str">
        <f>IFERROR(__xludf.DUMMYFUNCTION("""COMPUTED_VALUE"""),"provide support for families, especially in underserved areas.")</f>
        <v>provide support for families, especially in underserved areas.</v>
      </c>
      <c r="L41" s="12"/>
      <c r="M41" s="12"/>
      <c r="N41" s="12"/>
      <c r="O41" s="12"/>
      <c r="P41" s="12"/>
      <c r="Q41" s="12"/>
      <c r="R41" s="12"/>
      <c r="S41" s="12"/>
      <c r="T41" s="12"/>
      <c r="U41" s="12"/>
    </row>
    <row r="42" ht="14.25" customHeight="1">
      <c r="A42" s="12" t="s">
        <v>19</v>
      </c>
      <c r="B42" s="12" t="s">
        <v>330</v>
      </c>
      <c r="C42" s="12" t="str">
        <f t="shared" si="1"/>
        <v>P3.F2</v>
      </c>
      <c r="D42" s="12" t="s">
        <v>445</v>
      </c>
      <c r="E42" s="12" t="s">
        <v>446</v>
      </c>
      <c r="F42" s="12" t="s">
        <v>447</v>
      </c>
      <c r="G42" s="18" t="str">
        <f>IFERROR(__xludf.DUMMYFUNCTION("""COMPUTED_VALUE"""),"Increase NCDPI supports for the educators who serve as a bridge to the local
community, such as nurses, counselors, social workers, school psychologists
and parent liaisons.")</f>
        <v>Increase NCDPI supports for the educators who serve as a bridge to the local
community, such as nurses, counselors, social workers, school psychologists
and parent liaisons.</v>
      </c>
      <c r="H42" s="18">
        <v>46388.0</v>
      </c>
      <c r="I42" s="12" t="str">
        <f t="shared" si="2"/>
        <v>Starts in January, 2027</v>
      </c>
      <c r="J42" s="12" t="str">
        <f>IFERROR(__xludf.DUMMYFUNCTION("SPLIT(REGEXREPLACE(F42, ""(.{1,76})(?:\s+|$)"", ""$1"" &amp; ""¶""), ""¶"")"),"Increase NCDPI supports for the educators who serve as a bridge to the local")</f>
        <v>Increase NCDPI supports for the educators who serve as a bridge to the local</v>
      </c>
      <c r="K42" s="12" t="str">
        <f>IFERROR(__xludf.DUMMYFUNCTION("""COMPUTED_VALUE"""),"community, such as nurses, counselors, social workers, school psychologists")</f>
        <v>community, such as nurses, counselors, social workers, school psychologists</v>
      </c>
      <c r="L42" s="12" t="str">
        <f>IFERROR(__xludf.DUMMYFUNCTION("""COMPUTED_VALUE"""),"and parent liaisons.")</f>
        <v>and parent liaisons.</v>
      </c>
      <c r="M42" s="12"/>
      <c r="N42" s="12"/>
      <c r="O42" s="12"/>
      <c r="P42" s="12"/>
      <c r="Q42" s="12"/>
      <c r="R42" s="12"/>
      <c r="S42" s="12"/>
      <c r="T42" s="12"/>
      <c r="U42" s="12"/>
    </row>
    <row r="43" ht="14.25" customHeight="1">
      <c r="A43" s="12" t="s">
        <v>19</v>
      </c>
      <c r="B43" s="12" t="s">
        <v>330</v>
      </c>
      <c r="C43" s="12" t="str">
        <f t="shared" si="1"/>
        <v>P3.F2</v>
      </c>
      <c r="D43" s="12" t="s">
        <v>448</v>
      </c>
      <c r="E43" s="12" t="s">
        <v>449</v>
      </c>
      <c r="F43" s="12" t="s">
        <v>450</v>
      </c>
      <c r="G43" s="18" t="str">
        <f>IFERROR(__xludf.DUMMYFUNCTION("""COMPUTED_VALUE"""),"Advocate for evidence-based school models, such as “community schools, ”
that reduce barriers by promoting community resources to support student and
family well-being.")</f>
        <v>Advocate for evidence-based school models, such as “community schools, ”
that reduce barriers by promoting community resources to support student and
family well-being.</v>
      </c>
      <c r="H43" s="18">
        <v>46508.0</v>
      </c>
      <c r="I43" s="12" t="str">
        <f t="shared" si="2"/>
        <v>Starts in May, 2027</v>
      </c>
      <c r="J43" s="12" t="str">
        <f>IFERROR(__xludf.DUMMYFUNCTION("SPLIT(REGEXREPLACE(F43, ""(.{1,76})(?:\s+|$)"", ""$1"" &amp; ""¶""), ""¶"")"),"Advocate for evidence-based school models, such as “community schools, ”")</f>
        <v>Advocate for evidence-based school models, such as “community schools, ”</v>
      </c>
      <c r="K43" s="12" t="str">
        <f>IFERROR(__xludf.DUMMYFUNCTION("""COMPUTED_VALUE"""),"that reduce barriers by promoting community resources to support student and")</f>
        <v>that reduce barriers by promoting community resources to support student and</v>
      </c>
      <c r="L43" s="12" t="str">
        <f>IFERROR(__xludf.DUMMYFUNCTION("""COMPUTED_VALUE"""),"family well-being.")</f>
        <v>family well-being.</v>
      </c>
      <c r="M43" s="12"/>
      <c r="N43" s="12"/>
      <c r="O43" s="12"/>
      <c r="P43" s="12"/>
      <c r="Q43" s="12"/>
      <c r="R43" s="12"/>
      <c r="S43" s="12"/>
      <c r="T43" s="12"/>
      <c r="U43" s="12"/>
    </row>
    <row r="44" ht="14.25" customHeight="1">
      <c r="A44" s="12" t="s">
        <v>19</v>
      </c>
      <c r="B44" s="12" t="s">
        <v>330</v>
      </c>
      <c r="C44" s="12" t="str">
        <f t="shared" si="1"/>
        <v>P3.F2</v>
      </c>
      <c r="D44" s="12" t="s">
        <v>451</v>
      </c>
      <c r="E44" s="12" t="s">
        <v>452</v>
      </c>
      <c r="F44" s="12" t="s">
        <v>453</v>
      </c>
      <c r="G44" s="21" t="str">
        <f>IFERROR(__xludf.DUMMYFUNCTION("""COMPUTED_VALUE"""),"Identify and share best practices around partnerships between PSUs and local
health professionals for providing mental and physical health supports to
students and staff.")</f>
        <v>Identify and share best practices around partnerships between PSUs and local
health professionals for providing mental and physical health supports to
students and staff.</v>
      </c>
      <c r="H44" s="21">
        <v>46722.0</v>
      </c>
      <c r="I44" s="12" t="str">
        <f t="shared" si="2"/>
        <v>Starts in December, 2027</v>
      </c>
      <c r="J44" s="12" t="str">
        <f>IFERROR(__xludf.DUMMYFUNCTION("SPLIT(REGEXREPLACE(F44, ""(.{1,76})(?:\s+|$)"", ""$1"" &amp; ""¶""), ""¶"")"),"Identify and share best practices around partnerships between PSUs and local")</f>
        <v>Identify and share best practices around partnerships between PSUs and local</v>
      </c>
      <c r="K44" s="12" t="str">
        <f>IFERROR(__xludf.DUMMYFUNCTION("""COMPUTED_VALUE"""),"health professionals for providing mental and physical health supports to")</f>
        <v>health professionals for providing mental and physical health supports to</v>
      </c>
      <c r="L44" s="12" t="str">
        <f>IFERROR(__xludf.DUMMYFUNCTION("""COMPUTED_VALUE"""),"students and staff.")</f>
        <v>students and staff.</v>
      </c>
      <c r="M44" s="12"/>
      <c r="N44" s="12"/>
      <c r="O44" s="12"/>
      <c r="P44" s="12"/>
      <c r="Q44" s="12"/>
      <c r="R44" s="12"/>
      <c r="S44" s="12"/>
      <c r="T44" s="12"/>
      <c r="U44" s="12"/>
    </row>
    <row r="45" ht="14.25" customHeight="1">
      <c r="A45" s="4" t="s">
        <v>26</v>
      </c>
      <c r="B45" s="4" t="s">
        <v>320</v>
      </c>
      <c r="C45" s="4" t="str">
        <f t="shared" si="1"/>
        <v>P4.F1</v>
      </c>
      <c r="D45" s="4" t="s">
        <v>454</v>
      </c>
      <c r="E45" s="12" t="s">
        <v>455</v>
      </c>
      <c r="F45" s="4" t="s">
        <v>456</v>
      </c>
      <c r="G45" s="19" t="str">
        <f>IFERROR(__xludf.DUMMYFUNCTION("""COMPUTED_VALUE"""),"Strengthen physical security measures in PSUs, such as perimeter control,
secured access points and protected internal spaces, through school
construction assistance provided by NCDPI.")</f>
        <v>Strengthen physical security measures in PSUs, such as perimeter control,
secured access points and protected internal spaces, through school
construction assistance provided by NCDPI.</v>
      </c>
      <c r="H45" s="19">
        <v>45901.0</v>
      </c>
      <c r="I45" s="12" t="str">
        <f t="shared" si="2"/>
        <v>Starts in September, 2025</v>
      </c>
      <c r="J45" s="12" t="str">
        <f>IFERROR(__xludf.DUMMYFUNCTION("SPLIT(REGEXREPLACE(F45, ""(.{1,76})(?:\s+|$)"", ""$1"" &amp; ""¶""), ""¶"")"),"Strengthen physical security measures in PSUs, such as perimeter control,")</f>
        <v>Strengthen physical security measures in PSUs, such as perimeter control,</v>
      </c>
      <c r="K45" s="4" t="str">
        <f>IFERROR(__xludf.DUMMYFUNCTION("""COMPUTED_VALUE"""),"secured access points and protected internal spaces, through school")</f>
        <v>secured access points and protected internal spaces, through school</v>
      </c>
      <c r="L45" s="4" t="str">
        <f>IFERROR(__xludf.DUMMYFUNCTION("""COMPUTED_VALUE"""),"construction assistance provided by NCDPI.")</f>
        <v>construction assistance provided by NCDPI.</v>
      </c>
    </row>
    <row r="46" ht="14.25" customHeight="1">
      <c r="A46" s="4" t="s">
        <v>26</v>
      </c>
      <c r="B46" s="4" t="s">
        <v>320</v>
      </c>
      <c r="C46" s="4" t="str">
        <f t="shared" si="1"/>
        <v>P4.F1</v>
      </c>
      <c r="D46" s="4" t="s">
        <v>457</v>
      </c>
      <c r="E46" s="12" t="s">
        <v>458</v>
      </c>
      <c r="F46" s="4" t="s">
        <v>459</v>
      </c>
      <c r="G46" s="19" t="str">
        <f>IFERROR(__xludf.DUMMYFUNCTION("""COMPUTED_VALUE"""),"Support PSUs in creating safe and secure online learning environments by
providing tools, best practices and advanced training for educators on
virtual classrooms and secure online interactions.")</f>
        <v>Support PSUs in creating safe and secure online learning environments by
providing tools, best practices and advanced training for educators on
virtual classrooms and secure online interactions.</v>
      </c>
      <c r="H46" s="19">
        <v>46023.0</v>
      </c>
      <c r="I46" s="12" t="str">
        <f t="shared" si="2"/>
        <v>Starts in January, 2026</v>
      </c>
      <c r="J46" s="12" t="str">
        <f>IFERROR(__xludf.DUMMYFUNCTION("SPLIT(REGEXREPLACE(F46, ""(.{1,76})(?:\s+|$)"", ""$1"" &amp; ""¶""), ""¶"")"),"Support PSUs in creating safe and secure online learning environments by")</f>
        <v>Support PSUs in creating safe and secure online learning environments by</v>
      </c>
      <c r="K46" s="4" t="str">
        <f>IFERROR(__xludf.DUMMYFUNCTION("""COMPUTED_VALUE"""),"providing tools, best practices and advanced training for educators on")</f>
        <v>providing tools, best practices and advanced training for educators on</v>
      </c>
      <c r="L46" s="4" t="str">
        <f>IFERROR(__xludf.DUMMYFUNCTION("""COMPUTED_VALUE"""),"virtual classrooms and secure online interactions.")</f>
        <v>virtual classrooms and secure online interactions.</v>
      </c>
    </row>
    <row r="47" ht="14.25" customHeight="1">
      <c r="A47" s="4" t="s">
        <v>26</v>
      </c>
      <c r="B47" s="4" t="s">
        <v>320</v>
      </c>
      <c r="C47" s="4" t="str">
        <f t="shared" si="1"/>
        <v>P4.F1</v>
      </c>
      <c r="D47" s="4" t="s">
        <v>460</v>
      </c>
      <c r="E47" s="12" t="s">
        <v>461</v>
      </c>
      <c r="F47" s="4" t="s">
        <v>462</v>
      </c>
      <c r="G47" s="19" t="str">
        <f>IFERROR(__xludf.DUMMYFUNCTION("""COMPUTED_VALUE"""),"Encourage PSUs that utilize SROs to ensure all SROs receive training
appropriate for working with school-aged children, in collaboration with the
Governor’s Advisory Council for Student Safety and Well-Being and local law
enforcement agencies.")</f>
        <v>Encourage PSUs that utilize SROs to ensure all SROs receive training
appropriate for working with school-aged children, in collaboration with the
Governor’s Advisory Council for Student Safety and Well-Being and local law
enforcement agencies.</v>
      </c>
      <c r="H47" s="19">
        <v>46447.0</v>
      </c>
      <c r="I47" s="12" t="str">
        <f t="shared" si="2"/>
        <v>Starts in March, 2027</v>
      </c>
      <c r="J47" s="12" t="str">
        <f>IFERROR(__xludf.DUMMYFUNCTION("SPLIT(REGEXREPLACE(F47, ""(.{1,76})(?:\s+|$)"", ""$1"" &amp; ""¶""), ""¶"")"),"Encourage PSUs that utilize SROs to ensure all SROs receive training")</f>
        <v>Encourage PSUs that utilize SROs to ensure all SROs receive training</v>
      </c>
      <c r="K47" s="4" t="str">
        <f>IFERROR(__xludf.DUMMYFUNCTION("""COMPUTED_VALUE"""),"appropriate for working with school-aged children, in collaboration with the")</f>
        <v>appropriate for working with school-aged children, in collaboration with the</v>
      </c>
      <c r="L47" s="4" t="str">
        <f>IFERROR(__xludf.DUMMYFUNCTION("""COMPUTED_VALUE"""),"Governor’s Advisory Council for Student Safety and Well-Being and local law")</f>
        <v>Governor’s Advisory Council for Student Safety and Well-Being and local law</v>
      </c>
      <c r="M47" s="4" t="str">
        <f>IFERROR(__xludf.DUMMYFUNCTION("""COMPUTED_VALUE"""),"enforcement agencies.")</f>
        <v>enforcement agencies.</v>
      </c>
    </row>
    <row r="48" ht="14.25" customHeight="1">
      <c r="A48" s="4" t="s">
        <v>26</v>
      </c>
      <c r="B48" s="4" t="s">
        <v>330</v>
      </c>
      <c r="C48" s="4" t="str">
        <f t="shared" si="1"/>
        <v>P4.F2</v>
      </c>
      <c r="D48" s="4" t="s">
        <v>463</v>
      </c>
      <c r="E48" s="12" t="s">
        <v>464</v>
      </c>
      <c r="F48" s="4" t="s">
        <v>465</v>
      </c>
      <c r="G48" s="20" t="str">
        <f>IFERROR(__xludf.DUMMYFUNCTION("""COMPUTED_VALUE"""),"Guide PSUs to identify and apply best practices to limit distractions from
wireless devices and promote responsible social media use to support safe
and focused learning environments.")</f>
        <v>Guide PSUs to identify and apply best practices to limit distractions from
wireless devices and promote responsible social media use to support safe
and focused learning environments.</v>
      </c>
      <c r="H48" s="20">
        <v>46023.0</v>
      </c>
      <c r="I48" s="12" t="str">
        <f t="shared" si="2"/>
        <v>Starts in January, 2026</v>
      </c>
      <c r="J48" s="12" t="str">
        <f>IFERROR(__xludf.DUMMYFUNCTION("SPLIT(REGEXREPLACE(F48, ""(.{1,76})(?:\s+|$)"", ""$1"" &amp; ""¶""), ""¶"")"),"Guide PSUs to identify and apply best practices to limit distractions from")</f>
        <v>Guide PSUs to identify and apply best practices to limit distractions from</v>
      </c>
      <c r="K48" s="4" t="str">
        <f>IFERROR(__xludf.DUMMYFUNCTION("""COMPUTED_VALUE"""),"wireless devices and promote responsible social media use to support safe")</f>
        <v>wireless devices and promote responsible social media use to support safe</v>
      </c>
      <c r="L48" s="4" t="str">
        <f>IFERROR(__xludf.DUMMYFUNCTION("""COMPUTED_VALUE"""),"and focused learning environments.")</f>
        <v>and focused learning environments.</v>
      </c>
    </row>
    <row r="49" ht="14.25" customHeight="1">
      <c r="A49" s="4" t="s">
        <v>26</v>
      </c>
      <c r="B49" s="4" t="s">
        <v>330</v>
      </c>
      <c r="C49" s="4" t="str">
        <f t="shared" si="1"/>
        <v>P4.F2</v>
      </c>
      <c r="D49" s="4" t="s">
        <v>466</v>
      </c>
      <c r="E49" s="12" t="s">
        <v>467</v>
      </c>
      <c r="F49" s="4" t="s">
        <v>468</v>
      </c>
      <c r="G49" s="19" t="str">
        <f>IFERROR(__xludf.DUMMYFUNCTION("""COMPUTED_VALUE"""),"Identify and share effective practices for reducing chronic absenteeism and
strengthening student attendance.")</f>
        <v>Identify and share effective practices for reducing chronic absenteeism and
strengthening student attendance.</v>
      </c>
      <c r="H49" s="19">
        <v>46023.0</v>
      </c>
      <c r="I49" s="12" t="str">
        <f t="shared" si="2"/>
        <v>Starts in January, 2026</v>
      </c>
      <c r="J49" s="12" t="str">
        <f>IFERROR(__xludf.DUMMYFUNCTION("SPLIT(REGEXREPLACE(F49, ""(.{1,76})(?:\s+|$)"", ""$1"" &amp; ""¶""), ""¶"")"),"Identify and share effective practices for reducing chronic absenteeism and")</f>
        <v>Identify and share effective practices for reducing chronic absenteeism and</v>
      </c>
      <c r="K49" s="4" t="str">
        <f>IFERROR(__xludf.DUMMYFUNCTION("""COMPUTED_VALUE"""),"strengthening student attendance.")</f>
        <v>strengthening student attendance.</v>
      </c>
    </row>
    <row r="50" ht="14.25" customHeight="1">
      <c r="A50" s="4" t="s">
        <v>26</v>
      </c>
      <c r="B50" s="4" t="s">
        <v>330</v>
      </c>
      <c r="C50" s="4" t="str">
        <f t="shared" si="1"/>
        <v>P4.F2</v>
      </c>
      <c r="D50" s="4" t="s">
        <v>469</v>
      </c>
      <c r="E50" s="12" t="s">
        <v>470</v>
      </c>
      <c r="F50" s="4" t="s">
        <v>471</v>
      </c>
      <c r="G50" s="19" t="str">
        <f>IFERROR(__xludf.DUMMYFUNCTION("""COMPUTED_VALUE"""),"Promote student and staff well-being by supporting PSUs in implementing
Whole School, Whole Community, Whole Child models to foster positive school
climates and elevate student voice and belonging.")</f>
        <v>Promote student and staff well-being by supporting PSUs in implementing
Whole School, Whole Community, Whole Child models to foster positive school
climates and elevate student voice and belonging.</v>
      </c>
      <c r="H50" s="19">
        <v>46082.0</v>
      </c>
      <c r="I50" s="12" t="str">
        <f t="shared" si="2"/>
        <v>Starts in March, 2026</v>
      </c>
      <c r="J50" s="12" t="str">
        <f>IFERROR(__xludf.DUMMYFUNCTION("SPLIT(REGEXREPLACE(F50, ""(.{1,76})(?:\s+|$)"", ""$1"" &amp; ""¶""), ""¶"")"),"Promote student and staff well-being by supporting PSUs in implementing")</f>
        <v>Promote student and staff well-being by supporting PSUs in implementing</v>
      </c>
      <c r="K50" s="4" t="str">
        <f>IFERROR(__xludf.DUMMYFUNCTION("""COMPUTED_VALUE"""),"Whole School, Whole Community, Whole Child models to foster positive school")</f>
        <v>Whole School, Whole Community, Whole Child models to foster positive school</v>
      </c>
      <c r="L50" s="4" t="str">
        <f>IFERROR(__xludf.DUMMYFUNCTION("""COMPUTED_VALUE"""),"climates and elevate student voice and belonging.")</f>
        <v>climates and elevate student voice and belonging.</v>
      </c>
    </row>
    <row r="51" ht="14.25" customHeight="1">
      <c r="A51" s="4" t="s">
        <v>26</v>
      </c>
      <c r="B51" s="4" t="s">
        <v>330</v>
      </c>
      <c r="C51" s="4" t="str">
        <f t="shared" si="1"/>
        <v>P4.F2</v>
      </c>
      <c r="D51" s="4" t="s">
        <v>472</v>
      </c>
      <c r="E51" s="12" t="s">
        <v>473</v>
      </c>
      <c r="F51" s="4" t="s">
        <v>474</v>
      </c>
      <c r="G51" s="19" t="str">
        <f>IFERROR(__xludf.DUMMYFUNCTION("""COMPUTED_VALUE"""),"Develop a student behavior pilot to address behavior challenges and scale
trauma-informed practices in PSUs identified with significant discipline
referrals.")</f>
        <v>Develop a student behavior pilot to address behavior challenges and scale
trauma-informed practices in PSUs identified with significant discipline
referrals.</v>
      </c>
      <c r="H51" s="19">
        <v>46235.0</v>
      </c>
      <c r="I51" s="12" t="str">
        <f t="shared" si="2"/>
        <v>Starts in August, 2026</v>
      </c>
      <c r="J51" s="12" t="str">
        <f>IFERROR(__xludf.DUMMYFUNCTION("SPLIT(REGEXREPLACE(F51, ""(.{1,76})(?:\s+|$)"", ""$1"" &amp; ""¶""), ""¶"")"),"Develop a student behavior pilot to address behavior challenges and scale")</f>
        <v>Develop a student behavior pilot to address behavior challenges and scale</v>
      </c>
      <c r="K51" s="4" t="str">
        <f>IFERROR(__xludf.DUMMYFUNCTION("""COMPUTED_VALUE"""),"trauma-informed practices in PSUs identified with significant discipline")</f>
        <v>trauma-informed practices in PSUs identified with significant discipline</v>
      </c>
      <c r="L51" s="4" t="str">
        <f>IFERROR(__xludf.DUMMYFUNCTION("""COMPUTED_VALUE"""),"referrals.")</f>
        <v>referrals.</v>
      </c>
    </row>
    <row r="52" ht="14.25" customHeight="1">
      <c r="A52" s="4" t="s">
        <v>26</v>
      </c>
      <c r="B52" s="4" t="s">
        <v>330</v>
      </c>
      <c r="C52" s="4" t="str">
        <f t="shared" si="1"/>
        <v>P4.F2</v>
      </c>
      <c r="D52" s="4" t="s">
        <v>475</v>
      </c>
      <c r="E52" s="12" t="s">
        <v>476</v>
      </c>
      <c r="F52" s="4" t="s">
        <v>477</v>
      </c>
      <c r="G52" s="19" t="str">
        <f>IFERROR(__xludf.DUMMYFUNCTION("""COMPUTED_VALUE"""),"Support PSUs in implementing Positive Behavioral Interventions and Supports
(PBIS) and share best practices for fostering supportive school environments
and reducing behavioral challenges.")</f>
        <v>Support PSUs in implementing Positive Behavioral Interventions and Supports
(PBIS) and share best practices for fostering supportive school environments
and reducing behavioral challenges.</v>
      </c>
      <c r="H52" s="19">
        <v>46235.0</v>
      </c>
      <c r="I52" s="12" t="str">
        <f t="shared" si="2"/>
        <v>Starts in August, 2026</v>
      </c>
      <c r="J52" s="12" t="str">
        <f>IFERROR(__xludf.DUMMYFUNCTION("SPLIT(REGEXREPLACE(F52, ""(.{1,76})(?:\s+|$)"", ""$1"" &amp; ""¶""), ""¶"")"),"Support PSUs in implementing Positive Behavioral Interventions and Supports")</f>
        <v>Support PSUs in implementing Positive Behavioral Interventions and Supports</v>
      </c>
      <c r="K52" s="4" t="str">
        <f>IFERROR(__xludf.DUMMYFUNCTION("""COMPUTED_VALUE"""),"(PBIS) and share best practices for fostering supportive school environments")</f>
        <v>(PBIS) and share best practices for fostering supportive school environments</v>
      </c>
      <c r="L52" s="4" t="str">
        <f>IFERROR(__xludf.DUMMYFUNCTION("""COMPUTED_VALUE"""),"and reducing behavioral challenges.")</f>
        <v>and reducing behavioral challenges.</v>
      </c>
    </row>
    <row r="53" ht="14.25" customHeight="1">
      <c r="A53" s="4" t="s">
        <v>26</v>
      </c>
      <c r="B53" s="4" t="s">
        <v>330</v>
      </c>
      <c r="C53" s="4" t="str">
        <f t="shared" si="1"/>
        <v>P4.F2</v>
      </c>
      <c r="D53" s="4" t="s">
        <v>478</v>
      </c>
      <c r="E53" s="12" t="s">
        <v>479</v>
      </c>
      <c r="F53" s="4" t="s">
        <v>480</v>
      </c>
      <c r="G53" s="19" t="str">
        <f>IFERROR(__xludf.DUMMYFUNCTION("""COMPUTED_VALUE"""),"Partner with PSUs for widespread implementation of physical activity
recommendations in State Board Policy SHLT -000.")</f>
        <v>Partner with PSUs for widespread implementation of physical activity
recommendations in State Board Policy SHLT -000.</v>
      </c>
      <c r="H53" s="19">
        <v>46388.0</v>
      </c>
      <c r="I53" s="12" t="str">
        <f t="shared" si="2"/>
        <v>Starts in January, 2027</v>
      </c>
      <c r="J53" s="12" t="str">
        <f>IFERROR(__xludf.DUMMYFUNCTION("SPLIT(REGEXREPLACE(F53, ""(.{1,76})(?:\s+|$)"", ""$1"" &amp; ""¶""), ""¶"")"),"Partner with PSUs for widespread implementation of physical activity")</f>
        <v>Partner with PSUs for widespread implementation of physical activity</v>
      </c>
      <c r="K53" s="4" t="str">
        <f>IFERROR(__xludf.DUMMYFUNCTION("""COMPUTED_VALUE"""),"recommendations in State Board Policy SHLT -000.")</f>
        <v>recommendations in State Board Policy SHLT -000.</v>
      </c>
    </row>
    <row r="54" ht="14.25" customHeight="1">
      <c r="A54" s="4" t="s">
        <v>26</v>
      </c>
      <c r="B54" s="4" t="s">
        <v>330</v>
      </c>
      <c r="C54" s="4" t="str">
        <f t="shared" si="1"/>
        <v>P4.F2</v>
      </c>
      <c r="D54" s="4" t="s">
        <v>481</v>
      </c>
      <c r="E54" s="12" t="s">
        <v>482</v>
      </c>
      <c r="F54" s="4" t="s">
        <v>483</v>
      </c>
      <c r="G54" s="19" t="str">
        <f>IFERROR(__xludf.DUMMYFUNCTION("""COMPUTED_VALUE"""),"Partner with community and health service organizations to identify and
share strategies to expand school-based health services for students and
staff, including telehealth.")</f>
        <v>Partner with community and health service organizations to identify and
share strategies to expand school-based health services for students and
staff, including telehealth.</v>
      </c>
      <c r="H54" s="19">
        <v>46722.0</v>
      </c>
      <c r="I54" s="12" t="str">
        <f t="shared" si="2"/>
        <v>Starts in December, 2027</v>
      </c>
      <c r="J54" s="12" t="str">
        <f>IFERROR(__xludf.DUMMYFUNCTION("SPLIT(REGEXREPLACE(F54, ""(.{1,76})(?:\s+|$)"", ""$1"" &amp; ""¶""), ""¶"")"),"Partner with community and health service organizations to identify and")</f>
        <v>Partner with community and health service organizations to identify and</v>
      </c>
      <c r="K54" s="4" t="str">
        <f>IFERROR(__xludf.DUMMYFUNCTION("""COMPUTED_VALUE"""),"share strategies to expand school-based health services for students and")</f>
        <v>share strategies to expand school-based health services for students and</v>
      </c>
      <c r="L54" s="4" t="str">
        <f>IFERROR(__xludf.DUMMYFUNCTION("""COMPUTED_VALUE"""),"staff, including telehealth.")</f>
        <v>staff, including telehealth.</v>
      </c>
    </row>
    <row r="55" ht="14.25" customHeight="1">
      <c r="A55" s="4" t="s">
        <v>26</v>
      </c>
      <c r="B55" s="4" t="s">
        <v>330</v>
      </c>
      <c r="C55" s="4" t="str">
        <f t="shared" si="1"/>
        <v>P4.F2</v>
      </c>
      <c r="D55" s="4" t="s">
        <v>484</v>
      </c>
      <c r="E55" s="12" t="s">
        <v>485</v>
      </c>
      <c r="F55" s="4" t="s">
        <v>486</v>
      </c>
      <c r="G55" s="19" t="str">
        <f>IFERROR(__xludf.DUMMYFUNCTION("""COMPUTED_VALUE"""),"Increase educator capacity to address student mental health needs by
expanding Youth and Teen Mental Health First Aid training.")</f>
        <v>Increase educator capacity to address student mental health needs by
expanding Youth and Teen Mental Health First Aid training.</v>
      </c>
      <c r="H55" s="19">
        <v>46722.0</v>
      </c>
      <c r="I55" s="12" t="str">
        <f t="shared" si="2"/>
        <v>Starts in December, 2027</v>
      </c>
      <c r="J55" s="12" t="str">
        <f>IFERROR(__xludf.DUMMYFUNCTION("SPLIT(REGEXREPLACE(F55, ""(.{1,76})(?:\s+|$)"", ""$1"" &amp; ""¶""), ""¶"")"),"Increase educator capacity to address student mental health needs by")</f>
        <v>Increase educator capacity to address student mental health needs by</v>
      </c>
      <c r="K55" s="4" t="str">
        <f>IFERROR(__xludf.DUMMYFUNCTION("""COMPUTED_VALUE"""),"expanding Youth and Teen Mental Health First Aid training.")</f>
        <v>expanding Youth and Teen Mental Health First Aid training.</v>
      </c>
    </row>
    <row r="56" ht="14.25" customHeight="1">
      <c r="A56" s="4" t="s">
        <v>26</v>
      </c>
      <c r="B56" s="4" t="s">
        <v>330</v>
      </c>
      <c r="C56" s="4" t="str">
        <f t="shared" si="1"/>
        <v>P4.F2</v>
      </c>
      <c r="D56" s="4" t="s">
        <v>487</v>
      </c>
      <c r="E56" s="12" t="s">
        <v>488</v>
      </c>
      <c r="F56" s="4" t="s">
        <v>489</v>
      </c>
      <c r="G56" s="19" t="str">
        <f>IFERROR(__xludf.DUMMYFUNCTION("""COMPUTED_VALUE"""),"Enhance operational efficiency and maximize allowable Medicaid
reimbursements for school-based services across PSUs.")</f>
        <v>Enhance operational efficiency and maximize allowable Medicaid
reimbursements for school-based services across PSUs.</v>
      </c>
      <c r="H56" s="19">
        <v>46966.0</v>
      </c>
      <c r="I56" s="12" t="str">
        <f t="shared" si="2"/>
        <v>Starts in August, 2028</v>
      </c>
      <c r="J56" s="12" t="str">
        <f>IFERROR(__xludf.DUMMYFUNCTION("SPLIT(REGEXREPLACE(F56, ""(.{1,76})(?:\s+|$)"", ""$1"" &amp; ""¶""), ""¶"")"),"Enhance operational efficiency and maximize allowable Medicaid")</f>
        <v>Enhance operational efficiency and maximize allowable Medicaid</v>
      </c>
      <c r="K56" s="4" t="str">
        <f>IFERROR(__xludf.DUMMYFUNCTION("""COMPUTED_VALUE"""),"reimbursements for school-based services across PSUs.")</f>
        <v>reimbursements for school-based services across PSUs.</v>
      </c>
    </row>
    <row r="57" ht="14.25" customHeight="1">
      <c r="A57" s="12" t="s">
        <v>33</v>
      </c>
      <c r="B57" s="12" t="s">
        <v>320</v>
      </c>
      <c r="C57" s="12" t="str">
        <f t="shared" si="1"/>
        <v>P5.F1</v>
      </c>
      <c r="D57" s="12" t="s">
        <v>490</v>
      </c>
      <c r="E57" s="12" t="s">
        <v>491</v>
      </c>
      <c r="F57" s="12" t="s">
        <v>492</v>
      </c>
      <c r="G57" s="18" t="str">
        <f>IFERROR(__xludf.DUMMYFUNCTION("""COMPUTED_VALUE"""),"Implement an agency-wide language access plan and ensure communications and
website materials meet accessibility standards to better serve diverse PSU
needs.")</f>
        <v>Implement an agency-wide language access plan and ensure communications and
website materials meet accessibility standards to better serve diverse PSU
needs.</v>
      </c>
      <c r="H57" s="18">
        <v>46023.0</v>
      </c>
      <c r="I57" s="12" t="str">
        <f t="shared" si="2"/>
        <v>Starts in January, 2026</v>
      </c>
      <c r="J57" s="12" t="str">
        <f>IFERROR(__xludf.DUMMYFUNCTION("SPLIT(REGEXREPLACE(F57, ""(.{1,76})(?:\s+|$)"", ""$1"" &amp; ""¶""), ""¶"")"),"Implement an agency-wide language access plan and ensure communications and")</f>
        <v>Implement an agency-wide language access plan and ensure communications and</v>
      </c>
      <c r="K57" s="12" t="str">
        <f>IFERROR(__xludf.DUMMYFUNCTION("""COMPUTED_VALUE"""),"website materials meet accessibility standards to better serve diverse PSU")</f>
        <v>website materials meet accessibility standards to better serve diverse PSU</v>
      </c>
      <c r="L57" s="12" t="str">
        <f>IFERROR(__xludf.DUMMYFUNCTION("""COMPUTED_VALUE"""),"needs.")</f>
        <v>needs.</v>
      </c>
      <c r="M57" s="12"/>
      <c r="N57" s="12"/>
      <c r="O57" s="12"/>
      <c r="P57" s="12"/>
      <c r="Q57" s="12"/>
      <c r="R57" s="12"/>
      <c r="S57" s="12"/>
      <c r="T57" s="12"/>
      <c r="U57" s="12"/>
    </row>
    <row r="58" ht="14.25" customHeight="1">
      <c r="A58" s="12" t="s">
        <v>33</v>
      </c>
      <c r="B58" s="12" t="s">
        <v>320</v>
      </c>
      <c r="C58" s="12" t="str">
        <f t="shared" si="1"/>
        <v>P5.F1</v>
      </c>
      <c r="D58" s="12" t="s">
        <v>493</v>
      </c>
      <c r="E58" s="12" t="s">
        <v>494</v>
      </c>
      <c r="F58" s="12" t="s">
        <v>495</v>
      </c>
      <c r="G58" s="18" t="str">
        <f>IFERROR(__xludf.DUMMYFUNCTION("""COMPUTED_VALUE"""),"Improve ability of PSU staff to communicate with NCDPI by making contact
information more accessible and transparent and by enhancing support
protocols, such as regular NCDPI staff office hour sessions.")</f>
        <v>Improve ability of PSU staff to communicate with NCDPI by making contact
information more accessible and transparent and by enhancing support
protocols, such as regular NCDPI staff office hour sessions.</v>
      </c>
      <c r="H58" s="18">
        <v>46174.0</v>
      </c>
      <c r="I58" s="12" t="str">
        <f t="shared" si="2"/>
        <v>Starts in June, 2026</v>
      </c>
      <c r="J58" s="12" t="str">
        <f>IFERROR(__xludf.DUMMYFUNCTION("SPLIT(REGEXREPLACE(F58, ""(.{1,76})(?:\s+|$)"", ""$1"" &amp; ""¶""), ""¶"")"),"Improve ability of PSU staff to communicate with NCDPI by making contact")</f>
        <v>Improve ability of PSU staff to communicate with NCDPI by making contact</v>
      </c>
      <c r="K58" s="12" t="str">
        <f>IFERROR(__xludf.DUMMYFUNCTION("""COMPUTED_VALUE"""),"information more accessible and transparent and by enhancing support")</f>
        <v>information more accessible and transparent and by enhancing support</v>
      </c>
      <c r="L58" s="12" t="str">
        <f>IFERROR(__xludf.DUMMYFUNCTION("""COMPUTED_VALUE"""),"protocols, such as regular NCDPI staff office hour sessions.")</f>
        <v>protocols, such as regular NCDPI staff office hour sessions.</v>
      </c>
      <c r="M58" s="12"/>
      <c r="N58" s="12"/>
      <c r="O58" s="12"/>
      <c r="P58" s="12"/>
      <c r="Q58" s="12"/>
      <c r="R58" s="12"/>
      <c r="S58" s="12"/>
      <c r="T58" s="12"/>
      <c r="U58" s="12"/>
    </row>
    <row r="59" ht="14.25" customHeight="1">
      <c r="A59" s="12" t="s">
        <v>33</v>
      </c>
      <c r="B59" s="12" t="s">
        <v>320</v>
      </c>
      <c r="C59" s="12" t="str">
        <f t="shared" si="1"/>
        <v>P5.F1</v>
      </c>
      <c r="D59" s="12" t="s">
        <v>496</v>
      </c>
      <c r="E59" s="12" t="s">
        <v>497</v>
      </c>
      <c r="F59" s="12" t="s">
        <v>498</v>
      </c>
      <c r="G59" s="18" t="str">
        <f>IFERROR(__xludf.DUMMYFUNCTION("""COMPUTED_VALUE"""),"Develop and administer a survey to central office staff (a “DPI Customer
Service Survey”) to assess customer service strengths and needs.")</f>
        <v>Develop and administer a survey to central office staff (a “DPI Customer
Service Survey”) to assess customer service strengths and needs.</v>
      </c>
      <c r="H59" s="18">
        <v>46174.0</v>
      </c>
      <c r="I59" s="12" t="str">
        <f t="shared" si="2"/>
        <v>Starts in June, 2026</v>
      </c>
      <c r="J59" s="12" t="str">
        <f>IFERROR(__xludf.DUMMYFUNCTION("SPLIT(REGEXREPLACE(F59, ""(.{1,76})(?:\s+|$)"", ""$1"" &amp; ""¶""), ""¶"")"),"Develop and administer a survey to central office staff (a “DPI Customer")</f>
        <v>Develop and administer a survey to central office staff (a “DPI Customer</v>
      </c>
      <c r="K59" s="12" t="str">
        <f>IFERROR(__xludf.DUMMYFUNCTION("""COMPUTED_VALUE"""),"Service Survey”) to assess customer service strengths and needs.")</f>
        <v>Service Survey”) to assess customer service strengths and needs.</v>
      </c>
      <c r="L59" s="12"/>
      <c r="M59" s="12"/>
      <c r="N59" s="12"/>
      <c r="O59" s="12"/>
      <c r="P59" s="12"/>
      <c r="Q59" s="12"/>
      <c r="R59" s="12"/>
      <c r="S59" s="12"/>
      <c r="T59" s="12"/>
      <c r="U59" s="12"/>
    </row>
    <row r="60" ht="14.25" customHeight="1">
      <c r="A60" s="12" t="s">
        <v>33</v>
      </c>
      <c r="B60" s="12" t="s">
        <v>320</v>
      </c>
      <c r="C60" s="12" t="str">
        <f t="shared" si="1"/>
        <v>P5.F1</v>
      </c>
      <c r="D60" s="12" t="s">
        <v>499</v>
      </c>
      <c r="E60" s="12" t="s">
        <v>500</v>
      </c>
      <c r="F60" s="12" t="s">
        <v>501</v>
      </c>
      <c r="G60" s="21" t="str">
        <f>IFERROR(__xludf.DUMMYFUNCTION("""COMPUTED_VALUE"""),"Create and share NCDPI guidance focused on capacity building for PSUs,
including best practices for strategic purchasing decisions and aligning
budget decisions with instructional priorities.")</f>
        <v>Create and share NCDPI guidance focused on capacity building for PSUs,
including best practices for strategic purchasing decisions and aligning
budget decisions with instructional priorities.</v>
      </c>
      <c r="H60" s="21">
        <v>46174.0</v>
      </c>
      <c r="I60" s="12" t="str">
        <f t="shared" si="2"/>
        <v>Starts in June, 2026</v>
      </c>
      <c r="J60" s="12" t="str">
        <f>IFERROR(__xludf.DUMMYFUNCTION("SPLIT(REGEXREPLACE(F60, ""(.{1,76})(?:\s+|$)"", ""$1"" &amp; ""¶""), ""¶"")"),"Create and share NCDPI guidance focused on capacity building for PSUs,")</f>
        <v>Create and share NCDPI guidance focused on capacity building for PSUs,</v>
      </c>
      <c r="K60" s="12" t="str">
        <f>IFERROR(__xludf.DUMMYFUNCTION("""COMPUTED_VALUE"""),"including best practices for strategic purchasing decisions and aligning")</f>
        <v>including best practices for strategic purchasing decisions and aligning</v>
      </c>
      <c r="L60" s="12" t="str">
        <f>IFERROR(__xludf.DUMMYFUNCTION("""COMPUTED_VALUE"""),"budget decisions with instructional priorities.")</f>
        <v>budget decisions with instructional priorities.</v>
      </c>
      <c r="M60" s="12"/>
      <c r="N60" s="12"/>
      <c r="O60" s="12"/>
      <c r="P60" s="12"/>
      <c r="Q60" s="12"/>
      <c r="R60" s="12"/>
      <c r="S60" s="12"/>
      <c r="T60" s="12"/>
      <c r="U60" s="12"/>
    </row>
    <row r="61" ht="14.25" customHeight="1">
      <c r="A61" s="12" t="s">
        <v>33</v>
      </c>
      <c r="B61" s="12" t="s">
        <v>320</v>
      </c>
      <c r="C61" s="12" t="str">
        <f t="shared" si="1"/>
        <v>P5.F1</v>
      </c>
      <c r="D61" s="12" t="s">
        <v>502</v>
      </c>
      <c r="E61" s="12" t="s">
        <v>503</v>
      </c>
      <c r="F61" s="12" t="s">
        <v>504</v>
      </c>
      <c r="G61" s="18" t="str">
        <f>IFERROR(__xludf.DUMMYFUNCTION("""COMPUTED_VALUE"""),"Evaluate the condition, functionality and safety of the NCDPI building and
shared spaces to identify maintenance, modernization and accessibility needs
that impact staff and visitor health, safety and productivity.")</f>
        <v>Evaluate the condition, functionality and safety of the NCDPI building and
shared spaces to identify maintenance, modernization and accessibility needs
that impact staff and visitor health, safety and productivity.</v>
      </c>
      <c r="H61" s="18">
        <v>46174.0</v>
      </c>
      <c r="I61" s="12" t="str">
        <f t="shared" si="2"/>
        <v>Starts in June, 2026</v>
      </c>
      <c r="J61" s="12" t="str">
        <f>IFERROR(__xludf.DUMMYFUNCTION("SPLIT(REGEXREPLACE(F61, ""(.{1,76})(?:\s+|$)"", ""$1"" &amp; ""¶""), ""¶"")"),"Evaluate the condition, functionality and safety of the NCDPI building and")</f>
        <v>Evaluate the condition, functionality and safety of the NCDPI building and</v>
      </c>
      <c r="K61" s="12" t="str">
        <f>IFERROR(__xludf.DUMMYFUNCTION("""COMPUTED_VALUE"""),"shared spaces to identify maintenance, modernization and accessibility needs")</f>
        <v>shared spaces to identify maintenance, modernization and accessibility needs</v>
      </c>
      <c r="L61" s="12" t="str">
        <f>IFERROR(__xludf.DUMMYFUNCTION("""COMPUTED_VALUE"""),"that impact staff and visitor health, safety and productivity.")</f>
        <v>that impact staff and visitor health, safety and productivity.</v>
      </c>
      <c r="M61" s="12"/>
      <c r="N61" s="12"/>
      <c r="O61" s="12"/>
      <c r="P61" s="12"/>
      <c r="Q61" s="12"/>
      <c r="R61" s="12"/>
      <c r="S61" s="12"/>
      <c r="T61" s="12"/>
      <c r="U61" s="12"/>
    </row>
    <row r="62" ht="14.25" customHeight="1">
      <c r="A62" s="12" t="s">
        <v>33</v>
      </c>
      <c r="B62" s="12" t="s">
        <v>320</v>
      </c>
      <c r="C62" s="12" t="str">
        <f t="shared" si="1"/>
        <v>P5.F1</v>
      </c>
      <c r="D62" s="12" t="s">
        <v>505</v>
      </c>
      <c r="E62" s="12" t="s">
        <v>506</v>
      </c>
      <c r="F62" s="12" t="s">
        <v>507</v>
      </c>
      <c r="G62" s="18" t="str">
        <f>IFERROR(__xludf.DUMMYFUNCTION("""COMPUTED_VALUE"""),"Review, refine and standardize work order, maintenance and operational
support request processes to ensure consistent, timely and transparent
service delivery to all NCDPI offices and stakeholders.")</f>
        <v>Review, refine and standardize work order, maintenance and operational
support request processes to ensure consistent, timely and transparent
service delivery to all NCDPI offices and stakeholders.</v>
      </c>
      <c r="H62" s="18">
        <v>46235.0</v>
      </c>
      <c r="I62" s="12" t="str">
        <f t="shared" si="2"/>
        <v>Starts in August, 2026</v>
      </c>
      <c r="J62" s="12" t="str">
        <f>IFERROR(__xludf.DUMMYFUNCTION("SPLIT(REGEXREPLACE(F62, ""(.{1,76})(?:\s+|$)"", ""$1"" &amp; ""¶""), ""¶"")"),"Review, refine and standardize work order, maintenance and operational")</f>
        <v>Review, refine and standardize work order, maintenance and operational</v>
      </c>
      <c r="K62" s="12" t="str">
        <f>IFERROR(__xludf.DUMMYFUNCTION("""COMPUTED_VALUE"""),"support request processes to ensure consistent, timely and transparent")</f>
        <v>support request processes to ensure consistent, timely and transparent</v>
      </c>
      <c r="L62" s="12" t="str">
        <f>IFERROR(__xludf.DUMMYFUNCTION("""COMPUTED_VALUE"""),"service delivery to all NCDPI offices and stakeholders.")</f>
        <v>service delivery to all NCDPI offices and stakeholders.</v>
      </c>
      <c r="M62" s="12"/>
      <c r="N62" s="12"/>
      <c r="O62" s="12"/>
      <c r="P62" s="12"/>
      <c r="Q62" s="12"/>
      <c r="R62" s="12"/>
      <c r="S62" s="12"/>
      <c r="T62" s="12"/>
      <c r="U62" s="12"/>
    </row>
    <row r="63" ht="14.25" customHeight="1">
      <c r="A63" s="12" t="s">
        <v>33</v>
      </c>
      <c r="B63" s="12" t="s">
        <v>330</v>
      </c>
      <c r="C63" s="12" t="str">
        <f t="shared" si="1"/>
        <v>P5.F2</v>
      </c>
      <c r="D63" s="12" t="s">
        <v>508</v>
      </c>
      <c r="E63" s="12" t="s">
        <v>509</v>
      </c>
      <c r="F63" s="12" t="s">
        <v>510</v>
      </c>
      <c r="G63" s="18" t="str">
        <f>IFERROR(__xludf.DUMMYFUNCTION("""COMPUTED_VALUE"""),"Establish an intra-agency working group to identify and address barriers to
operational consistency, collaboration and communication across NCDPI
offices.")</f>
        <v>Establish an intra-agency working group to identify and address barriers to
operational consistency, collaboration and communication across NCDPI
offices.</v>
      </c>
      <c r="H63" s="18">
        <v>46023.0</v>
      </c>
      <c r="I63" s="12" t="str">
        <f t="shared" si="2"/>
        <v>Starts in January, 2026</v>
      </c>
      <c r="J63" s="12" t="str">
        <f>IFERROR(__xludf.DUMMYFUNCTION("SPLIT(REGEXREPLACE(F63, ""(.{1,76})(?:\s+|$)"", ""$1"" &amp; ""¶""), ""¶"")"),"Establish an intra-agency working group to identify and address barriers to")</f>
        <v>Establish an intra-agency working group to identify and address barriers to</v>
      </c>
      <c r="K63" s="12" t="str">
        <f>IFERROR(__xludf.DUMMYFUNCTION("""COMPUTED_VALUE"""),"operational consistency, collaboration and communication across NCDPI")</f>
        <v>operational consistency, collaboration and communication across NCDPI</v>
      </c>
      <c r="L63" s="12" t="str">
        <f>IFERROR(__xludf.DUMMYFUNCTION("""COMPUTED_VALUE"""),"offices.")</f>
        <v>offices.</v>
      </c>
      <c r="M63" s="12"/>
      <c r="N63" s="12"/>
      <c r="O63" s="12"/>
      <c r="P63" s="12"/>
      <c r="Q63" s="12"/>
      <c r="R63" s="12"/>
      <c r="S63" s="12"/>
      <c r="T63" s="12"/>
      <c r="U63" s="12"/>
    </row>
    <row r="64" ht="14.25" customHeight="1">
      <c r="A64" s="12" t="s">
        <v>33</v>
      </c>
      <c r="B64" s="12" t="s">
        <v>330</v>
      </c>
      <c r="C64" s="12" t="str">
        <f t="shared" si="1"/>
        <v>P5.F2</v>
      </c>
      <c r="D64" s="12" t="s">
        <v>511</v>
      </c>
      <c r="E64" s="12" t="s">
        <v>512</v>
      </c>
      <c r="F64" s="12" t="s">
        <v>513</v>
      </c>
      <c r="G64" s="18" t="str">
        <f>IFERROR(__xludf.DUMMYFUNCTION("""COMPUTED_VALUE"""),"Reestablish the NCDPI Agency Roundtable to better coordinate, differentiate
and streamline identified supports to PSUs.")</f>
        <v>Reestablish the NCDPI Agency Roundtable to better coordinate, differentiate
and streamline identified supports to PSUs.</v>
      </c>
      <c r="H64" s="18">
        <v>46023.0</v>
      </c>
      <c r="I64" s="12" t="str">
        <f t="shared" si="2"/>
        <v>Starts in January, 2026</v>
      </c>
      <c r="J64" s="12" t="str">
        <f>IFERROR(__xludf.DUMMYFUNCTION("SPLIT(REGEXREPLACE(F64, ""(.{1,76})(?:\s+|$)"", ""$1"" &amp; ""¶""), ""¶"")"),"Reestablish the NCDPI Agency Roundtable to better coordinate, differentiate")</f>
        <v>Reestablish the NCDPI Agency Roundtable to better coordinate, differentiate</v>
      </c>
      <c r="K64" s="12" t="str">
        <f>IFERROR(__xludf.DUMMYFUNCTION("""COMPUTED_VALUE"""),"and streamline identified supports to PSUs.")</f>
        <v>and streamline identified supports to PSUs.</v>
      </c>
      <c r="L64" s="12"/>
      <c r="M64" s="12"/>
      <c r="N64" s="12"/>
      <c r="O64" s="12"/>
      <c r="P64" s="12"/>
      <c r="Q64" s="12"/>
      <c r="R64" s="12"/>
      <c r="S64" s="12"/>
      <c r="T64" s="12"/>
      <c r="U64" s="12"/>
    </row>
    <row r="65" ht="14.25" customHeight="1">
      <c r="A65" s="12" t="s">
        <v>33</v>
      </c>
      <c r="B65" s="12" t="s">
        <v>330</v>
      </c>
      <c r="C65" s="12" t="str">
        <f t="shared" si="1"/>
        <v>P5.F2</v>
      </c>
      <c r="D65" s="12" t="s">
        <v>514</v>
      </c>
      <c r="E65" s="12" t="s">
        <v>515</v>
      </c>
      <c r="F65" s="12" t="s">
        <v>516</v>
      </c>
      <c r="G65" s="18" t="str">
        <f>IFERROR(__xludf.DUMMYFUNCTION("""COMPUTED_VALUE"""),"Create key performance indicators for all NCDPI offices aligned to the
strategic plan to monitor and drive agency effectiveness.")</f>
        <v>Create key performance indicators for all NCDPI offices aligned to the
strategic plan to monitor and drive agency effectiveness.</v>
      </c>
      <c r="H65" s="18">
        <v>46054.0</v>
      </c>
      <c r="I65" s="12" t="str">
        <f t="shared" si="2"/>
        <v>Starts in February, 2026</v>
      </c>
      <c r="J65" s="12" t="str">
        <f>IFERROR(__xludf.DUMMYFUNCTION("SPLIT(REGEXREPLACE(F65, ""(.{1,76})(?:\s+|$)"", ""$1"" &amp; ""¶""), ""¶"")"),"Create key performance indicators for all NCDPI offices aligned to the")</f>
        <v>Create key performance indicators for all NCDPI offices aligned to the</v>
      </c>
      <c r="K65" s="12" t="str">
        <f>IFERROR(__xludf.DUMMYFUNCTION("""COMPUTED_VALUE"""),"strategic plan to monitor and drive agency effectiveness.")</f>
        <v>strategic plan to monitor and drive agency effectiveness.</v>
      </c>
      <c r="L65" s="12"/>
      <c r="M65" s="12"/>
      <c r="N65" s="12"/>
      <c r="O65" s="12"/>
      <c r="P65" s="12"/>
      <c r="Q65" s="12"/>
      <c r="R65" s="12"/>
      <c r="S65" s="12"/>
      <c r="T65" s="12"/>
      <c r="U65" s="12"/>
    </row>
    <row r="66" ht="14.25" customHeight="1">
      <c r="A66" s="12" t="s">
        <v>33</v>
      </c>
      <c r="B66" s="12" t="s">
        <v>340</v>
      </c>
      <c r="C66" s="12" t="str">
        <f t="shared" si="1"/>
        <v>P5.F3</v>
      </c>
      <c r="D66" s="12" t="s">
        <v>517</v>
      </c>
      <c r="E66" s="12" t="s">
        <v>518</v>
      </c>
      <c r="F66" s="12" t="s">
        <v>519</v>
      </c>
      <c r="G66" s="18" t="str">
        <f>IFERROR(__xludf.DUMMYFUNCTION("""COMPUTED_VALUE"""),"Implement with limited challenges the NCSIS.")</f>
        <v>Implement with limited challenges the NCSIS.</v>
      </c>
      <c r="H66" s="18">
        <v>45870.0</v>
      </c>
      <c r="I66" s="12" t="str">
        <f t="shared" si="2"/>
        <v>Starts in August, 2025</v>
      </c>
      <c r="J66" s="12" t="str">
        <f>IFERROR(__xludf.DUMMYFUNCTION("SPLIT(REGEXREPLACE(F66, ""(.{1,76})(?:\s+|$)"", ""$1"" &amp; ""¶""), ""¶"")"),"Implement with limited challenges the NCSIS.")</f>
        <v>Implement with limited challenges the NCSIS.</v>
      </c>
      <c r="K66" s="12"/>
      <c r="L66" s="12"/>
      <c r="M66" s="12"/>
      <c r="N66" s="12"/>
      <c r="O66" s="12"/>
      <c r="P66" s="12"/>
      <c r="Q66" s="12"/>
      <c r="R66" s="12"/>
      <c r="S66" s="12"/>
      <c r="T66" s="12"/>
      <c r="U66" s="12"/>
    </row>
    <row r="67" ht="14.25" customHeight="1">
      <c r="A67" s="12" t="s">
        <v>33</v>
      </c>
      <c r="B67" s="12" t="s">
        <v>340</v>
      </c>
      <c r="C67" s="12" t="str">
        <f t="shared" si="1"/>
        <v>P5.F3</v>
      </c>
      <c r="D67" s="12" t="s">
        <v>520</v>
      </c>
      <c r="E67" s="12" t="s">
        <v>521</v>
      </c>
      <c r="F67" s="12" t="s">
        <v>522</v>
      </c>
      <c r="G67" s="21" t="str">
        <f>IFERROR(__xludf.DUMMYFUNCTION("""COMPUTED_VALUE"""),"Develop and implement a uniform framework for the handling of data,
including collection, validation, management, security and reporting
processes, across all NCDPI departments.")</f>
        <v>Develop and implement a uniform framework for the handling of data,
including collection, validation, management, security and reporting
processes, across all NCDPI departments.</v>
      </c>
      <c r="H67" s="21">
        <v>46082.0</v>
      </c>
      <c r="I67" s="12" t="str">
        <f t="shared" si="2"/>
        <v>Starts in March, 2026</v>
      </c>
      <c r="J67" s="12" t="str">
        <f>IFERROR(__xludf.DUMMYFUNCTION("SPLIT(REGEXREPLACE(F67, ""(.{1,76})(?:\s+|$)"", ""$1"" &amp; ""¶""), ""¶"")"),"Develop and implement a uniform framework for the handling of data,")</f>
        <v>Develop and implement a uniform framework for the handling of data,</v>
      </c>
      <c r="K67" s="12" t="str">
        <f>IFERROR(__xludf.DUMMYFUNCTION("""COMPUTED_VALUE"""),"including collection, validation, management, security and reporting")</f>
        <v>including collection, validation, management, security and reporting</v>
      </c>
      <c r="L67" s="12" t="str">
        <f>IFERROR(__xludf.DUMMYFUNCTION("""COMPUTED_VALUE"""),"processes, across all NCDPI departments.")</f>
        <v>processes, across all NCDPI departments.</v>
      </c>
      <c r="M67" s="12"/>
      <c r="N67" s="12"/>
      <c r="O67" s="12"/>
      <c r="P67" s="12"/>
      <c r="Q67" s="12"/>
      <c r="R67" s="12"/>
      <c r="S67" s="12"/>
      <c r="T67" s="12"/>
      <c r="U67" s="12"/>
    </row>
    <row r="68" ht="14.25" customHeight="1">
      <c r="A68" s="12" t="s">
        <v>33</v>
      </c>
      <c r="B68" s="12" t="s">
        <v>340</v>
      </c>
      <c r="C68" s="12" t="str">
        <f t="shared" si="1"/>
        <v>P5.F3</v>
      </c>
      <c r="D68" s="12" t="s">
        <v>523</v>
      </c>
      <c r="E68" s="12" t="s">
        <v>524</v>
      </c>
      <c r="F68" s="12" t="s">
        <v>525</v>
      </c>
      <c r="G68" s="18" t="str">
        <f>IFERROR(__xludf.DUMMYFUNCTION("""COMPUTED_VALUE"""),"Launch enhanced data analytic tools for use with the NCSIS.")</f>
        <v>Launch enhanced data analytic tools for use with the NCSIS.</v>
      </c>
      <c r="H68" s="18">
        <v>46235.0</v>
      </c>
      <c r="I68" s="12" t="str">
        <f t="shared" si="2"/>
        <v>Starts in August, 2026</v>
      </c>
      <c r="J68" s="12" t="str">
        <f>IFERROR(__xludf.DUMMYFUNCTION("SPLIT(REGEXREPLACE(F68, ""(.{1,76})(?:\s+|$)"", ""$1"" &amp; ""¶""), ""¶"")"),"Launch enhanced data analytic tools for use with the NCSIS.")</f>
        <v>Launch enhanced data analytic tools for use with the NCSIS.</v>
      </c>
      <c r="K68" s="12"/>
      <c r="L68" s="12"/>
      <c r="M68" s="12"/>
      <c r="N68" s="12"/>
      <c r="O68" s="12"/>
      <c r="P68" s="12"/>
      <c r="Q68" s="12"/>
      <c r="R68" s="12"/>
      <c r="S68" s="12"/>
      <c r="T68" s="12"/>
      <c r="U68" s="12"/>
    </row>
    <row r="69" ht="14.25" customHeight="1">
      <c r="A69" s="12" t="s">
        <v>33</v>
      </c>
      <c r="B69" s="12" t="s">
        <v>340</v>
      </c>
      <c r="C69" s="12" t="str">
        <f t="shared" si="1"/>
        <v>P5.F3</v>
      </c>
      <c r="D69" s="12" t="s">
        <v>526</v>
      </c>
      <c r="E69" s="12" t="s">
        <v>527</v>
      </c>
      <c r="F69" s="12" t="s">
        <v>528</v>
      </c>
      <c r="G69" s="18" t="str">
        <f>IFERROR(__xludf.DUMMYFUNCTION("""COMPUTED_VALUE"""),"Audit agency contracts to identify opportunities for cost savings, increased
efficiency and improved return on investment, with special focus on
technology-related agreements.")</f>
        <v>Audit agency contracts to identify opportunities for cost savings, increased
efficiency and improved return on investment, with special focus on
technology-related agreements.</v>
      </c>
      <c r="H69" s="18">
        <v>46266.0</v>
      </c>
      <c r="I69" s="12" t="str">
        <f t="shared" si="2"/>
        <v>Starts in September, 2026</v>
      </c>
      <c r="J69" s="12" t="str">
        <f>IFERROR(__xludf.DUMMYFUNCTION("SPLIT(REGEXREPLACE(F69, ""(.{1,76})(?:\s+|$)"", ""$1"" &amp; ""¶""), ""¶"")"),"Audit agency contracts to identify opportunities for cost savings, increased")</f>
        <v>Audit agency contracts to identify opportunities for cost savings, increased</v>
      </c>
      <c r="K69" s="12" t="str">
        <f>IFERROR(__xludf.DUMMYFUNCTION("""COMPUTED_VALUE"""),"efficiency and improved return on investment, with special focus on")</f>
        <v>efficiency and improved return on investment, with special focus on</v>
      </c>
      <c r="L69" s="12" t="str">
        <f>IFERROR(__xludf.DUMMYFUNCTION("""COMPUTED_VALUE"""),"technology-related agreements.")</f>
        <v>technology-related agreements.</v>
      </c>
      <c r="M69" s="12"/>
      <c r="N69" s="12"/>
      <c r="O69" s="12"/>
      <c r="P69" s="12"/>
      <c r="Q69" s="12"/>
      <c r="R69" s="12"/>
      <c r="S69" s="12"/>
      <c r="T69" s="12"/>
      <c r="U69" s="12"/>
    </row>
    <row r="70" ht="14.25" customHeight="1">
      <c r="A70" s="12" t="s">
        <v>33</v>
      </c>
      <c r="B70" s="12" t="s">
        <v>340</v>
      </c>
      <c r="C70" s="12" t="str">
        <f t="shared" si="1"/>
        <v>P5.F3</v>
      </c>
      <c r="D70" s="12" t="s">
        <v>529</v>
      </c>
      <c r="E70" s="12" t="s">
        <v>530</v>
      </c>
      <c r="F70" s="12" t="s">
        <v>531</v>
      </c>
      <c r="G70" s="18" t="str">
        <f>IFERROR(__xludf.DUMMYFUNCTION("""COMPUTED_VALUE"""),"Identify and promote PSU best practices for operational efficiency, such as
shared services models, as well as engage the business community to leverage
expertise on operational effectiveness.")</f>
        <v>Identify and promote PSU best practices for operational efficiency, such as
shared services models, as well as engage the business community to leverage
expertise on operational effectiveness.</v>
      </c>
      <c r="H70" s="18">
        <v>46388.0</v>
      </c>
      <c r="I70" s="12" t="str">
        <f t="shared" si="2"/>
        <v>Starts in January, 2027</v>
      </c>
      <c r="J70" s="12" t="str">
        <f>IFERROR(__xludf.DUMMYFUNCTION("SPLIT(REGEXREPLACE(F70, ""(.{1,76})(?:\s+|$)"", ""$1"" &amp; ""¶""), ""¶"")"),"Identify and promote PSU best practices for operational efficiency, such as")</f>
        <v>Identify and promote PSU best practices for operational efficiency, such as</v>
      </c>
      <c r="K70" s="12" t="str">
        <f>IFERROR(__xludf.DUMMYFUNCTION("""COMPUTED_VALUE"""),"shared services models, as well as engage the business community to leverage")</f>
        <v>shared services models, as well as engage the business community to leverage</v>
      </c>
      <c r="L70" s="12" t="str">
        <f>IFERROR(__xludf.DUMMYFUNCTION("""COMPUTED_VALUE"""),"expertise on operational effectiveness.")</f>
        <v>expertise on operational effectiveness.</v>
      </c>
      <c r="M70" s="12"/>
      <c r="N70" s="12"/>
      <c r="O70" s="12"/>
      <c r="P70" s="12"/>
      <c r="Q70" s="12"/>
      <c r="R70" s="12"/>
      <c r="S70" s="12"/>
      <c r="T70" s="12"/>
      <c r="U70" s="12"/>
    </row>
    <row r="71" ht="14.25" customHeight="1">
      <c r="A71" s="12" t="s">
        <v>33</v>
      </c>
      <c r="B71" s="12" t="s">
        <v>340</v>
      </c>
      <c r="C71" s="12" t="str">
        <f t="shared" si="1"/>
        <v>P5.F3</v>
      </c>
      <c r="D71" s="12" t="s">
        <v>532</v>
      </c>
      <c r="E71" s="12" t="s">
        <v>533</v>
      </c>
      <c r="F71" s="12" t="s">
        <v>534</v>
      </c>
      <c r="G71" s="21" t="str">
        <f>IFERROR(__xludf.DUMMYFUNCTION("""COMPUTED_VALUE"""),"Explore ways to leverage machine learning, artificial intelligence and
advanced analytics to enhance NCDPI efficiency and extend value and insights
essential to all statewide stakeholders.")</f>
        <v>Explore ways to leverage machine learning, artificial intelligence and
advanced analytics to enhance NCDPI efficiency and extend value and insights
essential to all statewide stakeholders.</v>
      </c>
      <c r="H71" s="21">
        <v>46388.0</v>
      </c>
      <c r="I71" s="12" t="str">
        <f t="shared" si="2"/>
        <v>Starts in January, 2027</v>
      </c>
      <c r="J71" s="12" t="str">
        <f>IFERROR(__xludf.DUMMYFUNCTION("SPLIT(REGEXREPLACE(F71, ""(.{1,76})(?:\s+|$)"", ""$1"" &amp; ""¶""), ""¶"")"),"Explore ways to leverage machine learning, artificial intelligence and")</f>
        <v>Explore ways to leverage machine learning, artificial intelligence and</v>
      </c>
      <c r="K71" s="12" t="str">
        <f>IFERROR(__xludf.DUMMYFUNCTION("""COMPUTED_VALUE"""),"advanced analytics to enhance NCDPI efficiency and extend value and insights")</f>
        <v>advanced analytics to enhance NCDPI efficiency and extend value and insights</v>
      </c>
      <c r="L71" s="12" t="str">
        <f>IFERROR(__xludf.DUMMYFUNCTION("""COMPUTED_VALUE"""),"essential to all statewide stakeholders.")</f>
        <v>essential to all statewide stakeholders.</v>
      </c>
      <c r="M71" s="12"/>
      <c r="N71" s="12"/>
      <c r="O71" s="12"/>
      <c r="P71" s="12"/>
      <c r="Q71" s="12"/>
      <c r="R71" s="12"/>
      <c r="S71" s="12"/>
      <c r="T71" s="12"/>
      <c r="U71" s="12"/>
    </row>
    <row r="72" ht="14.25" customHeight="1">
      <c r="A72" s="12" t="s">
        <v>33</v>
      </c>
      <c r="B72" s="12" t="s">
        <v>340</v>
      </c>
      <c r="C72" s="12" t="str">
        <f t="shared" si="1"/>
        <v>P5.F3</v>
      </c>
      <c r="D72" s="12" t="s">
        <v>535</v>
      </c>
      <c r="E72" s="12" t="s">
        <v>536</v>
      </c>
      <c r="F72" s="12" t="s">
        <v>537</v>
      </c>
      <c r="G72" s="18" t="str">
        <f>IFERROR(__xludf.DUMMYFUNCTION("""COMPUTED_VALUE"""),"Modernize the financial, human resources and licensure systems across both
NCDPI and PSUs.")</f>
        <v>Modernize the financial, human resources and licensure systems across both
NCDPI and PSUs.</v>
      </c>
      <c r="H72" s="18">
        <v>46753.0</v>
      </c>
      <c r="I72" s="12" t="str">
        <f t="shared" si="2"/>
        <v>Starts in January, 2028</v>
      </c>
      <c r="J72" s="12" t="str">
        <f>IFERROR(__xludf.DUMMYFUNCTION("SPLIT(REGEXREPLACE(F72, ""(.{1,76})(?:\s+|$)"", ""$1"" &amp; ""¶""), ""¶"")"),"Modernize the financial, human resources and licensure systems across both")</f>
        <v>Modernize the financial, human resources and licensure systems across both</v>
      </c>
      <c r="K72" s="12" t="str">
        <f>IFERROR(__xludf.DUMMYFUNCTION("""COMPUTED_VALUE"""),"NCDPI and PSUs.")</f>
        <v>NCDPI and PSUs.</v>
      </c>
      <c r="L72" s="12"/>
      <c r="M72" s="12"/>
      <c r="N72" s="12"/>
      <c r="O72" s="12"/>
      <c r="P72" s="12"/>
      <c r="Q72" s="12"/>
      <c r="R72" s="12"/>
      <c r="S72" s="12"/>
      <c r="T72" s="12"/>
      <c r="U72" s="12"/>
    </row>
    <row r="73" ht="14.25" customHeight="1">
      <c r="A73" s="12" t="s">
        <v>33</v>
      </c>
      <c r="B73" s="12" t="s">
        <v>340</v>
      </c>
      <c r="C73" s="12" t="str">
        <f t="shared" si="1"/>
        <v>P5.F3</v>
      </c>
      <c r="D73" s="12" t="s">
        <v>538</v>
      </c>
      <c r="E73" s="12" t="s">
        <v>539</v>
      </c>
      <c r="F73" s="12" t="s">
        <v>540</v>
      </c>
      <c r="G73" s="18" t="str">
        <f>IFERROR(__xludf.DUMMYFUNCTION("""COMPUTED_VALUE"""),"Design, deploy and operationalize a centralized and unified data
visualization platform for NCDPI data.")</f>
        <v>Design, deploy and operationalize a centralized and unified data
visualization platform for NCDPI data.</v>
      </c>
      <c r="H73" s="18">
        <v>46966.0</v>
      </c>
      <c r="I73" s="12" t="str">
        <f t="shared" si="2"/>
        <v>Starts in August, 2028</v>
      </c>
      <c r="J73" s="12" t="str">
        <f>IFERROR(__xludf.DUMMYFUNCTION("SPLIT(REGEXREPLACE(F73, ""(.{1,76})(?:\s+|$)"", ""$1"" &amp; ""¶""), ""¶"")"),"Design, deploy and operationalize a centralized and unified data")</f>
        <v>Design, deploy and operationalize a centralized and unified data</v>
      </c>
      <c r="K73" s="12" t="str">
        <f>IFERROR(__xludf.DUMMYFUNCTION("""COMPUTED_VALUE"""),"visualization platform for NCDPI data.")</f>
        <v>visualization platform for NCDPI data.</v>
      </c>
      <c r="L73" s="12"/>
      <c r="M73" s="12"/>
      <c r="N73" s="12"/>
      <c r="O73" s="12"/>
      <c r="P73" s="12"/>
      <c r="Q73" s="12"/>
      <c r="R73" s="12"/>
      <c r="S73" s="12"/>
      <c r="T73" s="12"/>
      <c r="U73" s="12"/>
    </row>
    <row r="74" ht="14.25" customHeight="1">
      <c r="A74" s="4" t="s">
        <v>38</v>
      </c>
      <c r="B74" s="4" t="s">
        <v>320</v>
      </c>
      <c r="C74" s="4" t="str">
        <f t="shared" si="1"/>
        <v>P6.F1</v>
      </c>
      <c r="D74" s="4" t="s">
        <v>541</v>
      </c>
      <c r="E74" s="12" t="s">
        <v>542</v>
      </c>
      <c r="F74" s="4" t="s">
        <v>543</v>
      </c>
      <c r="G74" s="19" t="str">
        <f>IFERROR(__xludf.DUMMYFUNCTION("""COMPUTED_VALUE"""),"Create a cross-sector Innovation Leadership Council (charter, district and
lab school leaders, along with NCDPI staff) to guide knowledge transfer and
scale- up.")</f>
        <v>Create a cross-sector Innovation Leadership Council (charter, district and
lab school leaders, along with NCDPI staff) to guide knowledge transfer and
scale- up.</v>
      </c>
      <c r="H74" s="19">
        <v>46023.0</v>
      </c>
      <c r="I74" s="12" t="str">
        <f t="shared" si="2"/>
        <v>Starts in January, 2026</v>
      </c>
      <c r="J74" s="12" t="str">
        <f>IFERROR(__xludf.DUMMYFUNCTION("SPLIT(REGEXREPLACE(F74, ""(.{1,76})(?:\s+|$)"", ""$1"" &amp; ""¶""), ""¶"")"),"Create a cross-sector Innovation Leadership Council (charter, district and")</f>
        <v>Create a cross-sector Innovation Leadership Council (charter, district and</v>
      </c>
      <c r="K74" s="4" t="str">
        <f>IFERROR(__xludf.DUMMYFUNCTION("""COMPUTED_VALUE"""),"lab school leaders, along with NCDPI staff) to guide knowledge transfer and")</f>
        <v>lab school leaders, along with NCDPI staff) to guide knowledge transfer and</v>
      </c>
      <c r="L74" s="4" t="str">
        <f>IFERROR(__xludf.DUMMYFUNCTION("""COMPUTED_VALUE"""),"scale- up.")</f>
        <v>scale- up.</v>
      </c>
    </row>
    <row r="75" ht="14.25" customHeight="1">
      <c r="A75" s="4" t="s">
        <v>38</v>
      </c>
      <c r="B75" s="4" t="s">
        <v>320</v>
      </c>
      <c r="C75" s="4" t="str">
        <f t="shared" si="1"/>
        <v>P6.F1</v>
      </c>
      <c r="D75" s="4" t="s">
        <v>544</v>
      </c>
      <c r="E75" s="12" t="s">
        <v>545</v>
      </c>
      <c r="F75" s="4" t="s">
        <v>546</v>
      </c>
      <c r="G75" s="19" t="str">
        <f>IFERROR(__xludf.DUMMYFUNCTION("""COMPUTED_VALUE"""),"Establish a structured process to identify, pilot, evaluate and/or scale
innovative school models and instructional practices across North Carolina.")</f>
        <v>Establish a structured process to identify, pilot, evaluate and/or scale
innovative school models and instructional practices across North Carolina.</v>
      </c>
      <c r="H75" s="19">
        <v>46082.0</v>
      </c>
      <c r="I75" s="12" t="str">
        <f t="shared" si="2"/>
        <v>Starts in March, 2026</v>
      </c>
      <c r="J75" s="12" t="str">
        <f>IFERROR(__xludf.DUMMYFUNCTION("SPLIT(REGEXREPLACE(F75, ""(.{1,76})(?:\s+|$)"", ""$1"" &amp; ""¶""), ""¶"")"),"Establish a structured process to identify, pilot, evaluate and/or scale")</f>
        <v>Establish a structured process to identify, pilot, evaluate and/or scale</v>
      </c>
      <c r="K75" s="4" t="str">
        <f>IFERROR(__xludf.DUMMYFUNCTION("""COMPUTED_VALUE"""),"innovative school models and instructional practices across North Carolina.")</f>
        <v>innovative school models and instructional practices across North Carolina.</v>
      </c>
    </row>
    <row r="76" ht="14.25" customHeight="1">
      <c r="A76" s="4" t="s">
        <v>38</v>
      </c>
      <c r="B76" s="4" t="s">
        <v>320</v>
      </c>
      <c r="C76" s="4" t="str">
        <f t="shared" si="1"/>
        <v>P6.F1</v>
      </c>
      <c r="D76" s="4" t="s">
        <v>547</v>
      </c>
      <c r="E76" s="12" t="s">
        <v>548</v>
      </c>
      <c r="F76" s="4" t="s">
        <v>549</v>
      </c>
      <c r="G76" s="20" t="str">
        <f>IFERROR(__xludf.DUMMYFUNCTION("""COMPUTED_VALUE"""),"Publish and promote an annual collection of effective and innovative
practices drawn from local, statewide and national research, to inform
policy, NCDPI work and PSU improvement efforts.")</f>
        <v>Publish and promote an annual collection of effective and innovative
practices drawn from local, statewide and national research, to inform
policy, NCDPI work and PSU improvement efforts.</v>
      </c>
      <c r="H76" s="20">
        <v>46174.0</v>
      </c>
      <c r="I76" s="12" t="str">
        <f t="shared" si="2"/>
        <v>Starts in June, 2026</v>
      </c>
      <c r="J76" s="12" t="str">
        <f>IFERROR(__xludf.DUMMYFUNCTION("SPLIT(REGEXREPLACE(F76, ""(.{1,76})(?:\s+|$)"", ""$1"" &amp; ""¶""), ""¶"")"),"Publish and promote an annual collection of effective and innovative")</f>
        <v>Publish and promote an annual collection of effective and innovative</v>
      </c>
      <c r="K76" s="4" t="str">
        <f>IFERROR(__xludf.DUMMYFUNCTION("""COMPUTED_VALUE"""),"practices drawn from local, statewide and national research, to inform")</f>
        <v>practices drawn from local, statewide and national research, to inform</v>
      </c>
      <c r="L76" s="4" t="str">
        <f>IFERROR(__xludf.DUMMYFUNCTION("""COMPUTED_VALUE"""),"policy, NCDPI work and PSU improvement efforts.")</f>
        <v>policy, NCDPI work and PSU improvement efforts.</v>
      </c>
    </row>
    <row r="77" ht="14.25" customHeight="1">
      <c r="A77" s="4" t="s">
        <v>38</v>
      </c>
      <c r="B77" s="4" t="s">
        <v>330</v>
      </c>
      <c r="C77" s="4" t="str">
        <f t="shared" si="1"/>
        <v>P6.F2</v>
      </c>
      <c r="D77" s="4" t="s">
        <v>550</v>
      </c>
      <c r="E77" s="12" t="s">
        <v>551</v>
      </c>
      <c r="F77" s="4" t="s">
        <v>552</v>
      </c>
      <c r="G77" s="19" t="str">
        <f>IFERROR(__xludf.DUMMYFUNCTION("""COMPUTED_VALUE"""),"Establish statewide, regional and partner education networks to facilitate
implementation of key strategic plan priorities, share scalable resources
and support continuous improvement across PSUs.")</f>
        <v>Establish statewide, regional and partner education networks to facilitate
implementation of key strategic plan priorities, share scalable resources
and support continuous improvement across PSUs.</v>
      </c>
      <c r="H77" s="19">
        <v>46266.0</v>
      </c>
      <c r="I77" s="12" t="str">
        <f t="shared" si="2"/>
        <v>Starts in September, 2026</v>
      </c>
      <c r="J77" s="12" t="str">
        <f>IFERROR(__xludf.DUMMYFUNCTION("SPLIT(REGEXREPLACE(F77, ""(.{1,76})(?:\s+|$)"", ""$1"" &amp; ""¶""), ""¶"")"),"Establish statewide, regional and partner education networks to facilitate")</f>
        <v>Establish statewide, regional and partner education networks to facilitate</v>
      </c>
      <c r="K77" s="4" t="str">
        <f>IFERROR(__xludf.DUMMYFUNCTION("""COMPUTED_VALUE"""),"implementation of key strategic plan priorities, share scalable resources")</f>
        <v>implementation of key strategic plan priorities, share scalable resources</v>
      </c>
      <c r="L77" s="4" t="str">
        <f>IFERROR(__xludf.DUMMYFUNCTION("""COMPUTED_VALUE"""),"and support continuous improvement across PSUs.")</f>
        <v>and support continuous improvement across PSUs.</v>
      </c>
    </row>
    <row r="78" ht="14.25" customHeight="1">
      <c r="A78" s="4" t="s">
        <v>38</v>
      </c>
      <c r="B78" s="4" t="s">
        <v>330</v>
      </c>
      <c r="C78" s="4" t="str">
        <f t="shared" si="1"/>
        <v>P6.F2</v>
      </c>
      <c r="D78" s="4" t="s">
        <v>553</v>
      </c>
      <c r="E78" s="12" t="s">
        <v>554</v>
      </c>
      <c r="F78" s="4" t="s">
        <v>555</v>
      </c>
      <c r="G78" s="19" t="str">
        <f>IFERROR(__xludf.DUMMYFUNCTION("""COMPUTED_VALUE"""),"Create and maintain shared resources, assets and digital tools for use by
education networks, enabling districts and schools to accelerate strategic
initiatives and replicate effective practices.")</f>
        <v>Create and maintain shared resources, assets and digital tools for use by
education networks, enabling districts and schools to accelerate strategic
initiatives and replicate effective practices.</v>
      </c>
      <c r="H78" s="19">
        <v>46266.0</v>
      </c>
      <c r="I78" s="12" t="str">
        <f t="shared" si="2"/>
        <v>Starts in September, 2026</v>
      </c>
      <c r="J78" s="12" t="str">
        <f>IFERROR(__xludf.DUMMYFUNCTION("SPLIT(REGEXREPLACE(F78, ""(.{1,76})(?:\s+|$)"", ""$1"" &amp; ""¶""), ""¶"")"),"Create and maintain shared resources, assets and digital tools for use by")</f>
        <v>Create and maintain shared resources, assets and digital tools for use by</v>
      </c>
      <c r="K78" s="4" t="str">
        <f>IFERROR(__xludf.DUMMYFUNCTION("""COMPUTED_VALUE"""),"education networks, enabling districts and schools to accelerate strategic")</f>
        <v>education networks, enabling districts and schools to accelerate strategic</v>
      </c>
      <c r="L78" s="4" t="str">
        <f>IFERROR(__xludf.DUMMYFUNCTION("""COMPUTED_VALUE"""),"initiatives and replicate effective practices.")</f>
        <v>initiatives and replicate effective practices.</v>
      </c>
    </row>
    <row r="79" ht="14.25" customHeight="1">
      <c r="A79" s="4" t="s">
        <v>38</v>
      </c>
      <c r="B79" s="4" t="s">
        <v>330</v>
      </c>
      <c r="C79" s="4" t="str">
        <f t="shared" si="1"/>
        <v>P6.F2</v>
      </c>
      <c r="D79" s="4" t="s">
        <v>556</v>
      </c>
      <c r="E79" s="12" t="s">
        <v>557</v>
      </c>
      <c r="F79" s="4" t="s">
        <v>558</v>
      </c>
      <c r="G79" s="20" t="str">
        <f>IFERROR(__xludf.DUMMYFUNCTION("""COMPUTED_VALUE"""),"Convene an annual statewide and interstate networks conference to showcase
innovative PreK– 12 practices, host immersive site visits and expand access
to research-driven models.")</f>
        <v>Convene an annual statewide and interstate networks conference to showcase
innovative PreK– 12 practices, host immersive site visits and expand access
to research-driven models.</v>
      </c>
      <c r="H79" s="20">
        <v>46661.0</v>
      </c>
      <c r="I79" s="12" t="str">
        <f t="shared" si="2"/>
        <v>Starts in October, 2027</v>
      </c>
      <c r="J79" s="12" t="str">
        <f>IFERROR(__xludf.DUMMYFUNCTION("SPLIT(REGEXREPLACE(F79, ""(.{1,76})(?:\s+|$)"", ""$1"" &amp; ""¶""), ""¶"")"),"Convene an annual statewide and interstate networks conference to showcase")</f>
        <v>Convene an annual statewide and interstate networks conference to showcase</v>
      </c>
      <c r="K79" s="4" t="str">
        <f>IFERROR(__xludf.DUMMYFUNCTION("""COMPUTED_VALUE"""),"innovative PreK– 12 practices, host immersive site visits and expand access")</f>
        <v>innovative PreK– 12 practices, host immersive site visits and expand access</v>
      </c>
      <c r="L79" s="4" t="str">
        <f>IFERROR(__xludf.DUMMYFUNCTION("""COMPUTED_VALUE"""),"to research-driven models.")</f>
        <v>to research-driven models.</v>
      </c>
    </row>
    <row r="80" ht="14.25" customHeight="1">
      <c r="A80" s="4" t="s">
        <v>38</v>
      </c>
      <c r="B80" s="4" t="s">
        <v>340</v>
      </c>
      <c r="C80" s="4" t="str">
        <f t="shared" si="1"/>
        <v>P6.F3</v>
      </c>
      <c r="D80" s="4" t="s">
        <v>559</v>
      </c>
      <c r="E80" s="12" t="s">
        <v>560</v>
      </c>
      <c r="F80" s="4" t="s">
        <v>561</v>
      </c>
      <c r="G80" s="19" t="str">
        <f>IFERROR(__xludf.DUMMYFUNCTION("""COMPUTED_VALUE"""),"Explore redesign of the statutory process for identifying low-performing
schools to ensure it is supportive, research-informed and better aligned to
improvement needs.")</f>
        <v>Explore redesign of the statutory process for identifying low-performing
schools to ensure it is supportive, research-informed and better aligned to
improvement needs.</v>
      </c>
      <c r="H80" s="19">
        <v>46054.0</v>
      </c>
      <c r="I80" s="12" t="str">
        <f t="shared" si="2"/>
        <v>Starts in February, 2026</v>
      </c>
      <c r="J80" s="12" t="str">
        <f>IFERROR(__xludf.DUMMYFUNCTION("SPLIT(REGEXREPLACE(F80, ""(.{1,76})(?:\s+|$)"", ""$1"" &amp; ""¶""), ""¶"")"),"Explore redesign of the statutory process for identifying low-performing")</f>
        <v>Explore redesign of the statutory process for identifying low-performing</v>
      </c>
      <c r="K80" s="4" t="str">
        <f>IFERROR(__xludf.DUMMYFUNCTION("""COMPUTED_VALUE"""),"schools to ensure it is supportive, research-informed and better aligned to")</f>
        <v>schools to ensure it is supportive, research-informed and better aligned to</v>
      </c>
      <c r="L80" s="4" t="str">
        <f>IFERROR(__xludf.DUMMYFUNCTION("""COMPUTED_VALUE"""),"improvement needs.")</f>
        <v>improvement needs.</v>
      </c>
    </row>
    <row r="81" ht="14.25" customHeight="1">
      <c r="A81" s="4" t="s">
        <v>38</v>
      </c>
      <c r="B81" s="4" t="s">
        <v>340</v>
      </c>
      <c r="C81" s="4" t="str">
        <f t="shared" si="1"/>
        <v>P6.F3</v>
      </c>
      <c r="D81" s="4" t="s">
        <v>562</v>
      </c>
      <c r="E81" s="12" t="s">
        <v>563</v>
      </c>
      <c r="F81" s="4" t="s">
        <v>564</v>
      </c>
      <c r="G81" s="19" t="str">
        <f>IFERROR(__xludf.DUMMYFUNCTION("""COMPUTED_VALUE"""),"Explore strategies, including how to creatively use currently available
funding allotments, to recruit and retain highly effective teachers and
principals to work in low-performing schools and districts.")</f>
        <v>Explore strategies, including how to creatively use currently available
funding allotments, to recruit and retain highly effective teachers and
principals to work in low-performing schools and districts.</v>
      </c>
      <c r="H81" s="19">
        <v>46174.0</v>
      </c>
      <c r="I81" s="12" t="str">
        <f t="shared" si="2"/>
        <v>Starts in June, 2026</v>
      </c>
      <c r="J81" s="12" t="str">
        <f>IFERROR(__xludf.DUMMYFUNCTION("SPLIT(REGEXREPLACE(F81, ""(.{1,76})(?:\s+|$)"", ""$1"" &amp; ""¶""), ""¶"")"),"Explore strategies, including how to creatively use currently available")</f>
        <v>Explore strategies, including how to creatively use currently available</v>
      </c>
      <c r="K81" s="4" t="str">
        <f>IFERROR(__xludf.DUMMYFUNCTION("""COMPUTED_VALUE"""),"funding allotments, to recruit and retain highly effective teachers and")</f>
        <v>funding allotments, to recruit and retain highly effective teachers and</v>
      </c>
      <c r="L81" s="4" t="str">
        <f>IFERROR(__xludf.DUMMYFUNCTION("""COMPUTED_VALUE"""),"principals to work in low-performing schools and districts.")</f>
        <v>principals to work in low-performing schools and districts.</v>
      </c>
    </row>
    <row r="82" ht="14.25" customHeight="1">
      <c r="A82" s="4" t="s">
        <v>38</v>
      </c>
      <c r="B82" s="4" t="s">
        <v>340</v>
      </c>
      <c r="C82" s="4" t="str">
        <f t="shared" si="1"/>
        <v>P6.F3</v>
      </c>
      <c r="D82" s="4" t="s">
        <v>565</v>
      </c>
      <c r="E82" s="12" t="s">
        <v>566</v>
      </c>
      <c r="F82" s="4" t="s">
        <v>567</v>
      </c>
      <c r="G82" s="19" t="str">
        <f>IFERROR(__xludf.DUMMYFUNCTION("""COMPUTED_VALUE"""),"Adopt statewide protocols, including diagnostics, planning tools and
fidelity monitoring to guide local improvement efforts for low-performing
schools.")</f>
        <v>Adopt statewide protocols, including diagnostics, planning tools and
fidelity monitoring to guide local improvement efforts for low-performing
schools.</v>
      </c>
      <c r="H82" s="19">
        <v>46266.0</v>
      </c>
      <c r="I82" s="12" t="str">
        <f t="shared" si="2"/>
        <v>Starts in September, 2026</v>
      </c>
      <c r="J82" s="12" t="str">
        <f>IFERROR(__xludf.DUMMYFUNCTION("SPLIT(REGEXREPLACE(F82, ""(.{1,76})(?:\s+|$)"", ""$1"" &amp; ""¶""), ""¶"")"),"Adopt statewide protocols, including diagnostics, planning tools and")</f>
        <v>Adopt statewide protocols, including diagnostics, planning tools and</v>
      </c>
      <c r="K82" s="4" t="str">
        <f>IFERROR(__xludf.DUMMYFUNCTION("""COMPUTED_VALUE"""),"fidelity monitoring to guide local improvement efforts for low-performing")</f>
        <v>fidelity monitoring to guide local improvement efforts for low-performing</v>
      </c>
      <c r="L82" s="4" t="str">
        <f>IFERROR(__xludf.DUMMYFUNCTION("""COMPUTED_VALUE"""),"schools.")</f>
        <v>schools.</v>
      </c>
    </row>
    <row r="83" ht="14.25" customHeight="1">
      <c r="A83" s="4" t="s">
        <v>38</v>
      </c>
      <c r="B83" s="4" t="s">
        <v>340</v>
      </c>
      <c r="C83" s="4" t="str">
        <f t="shared" si="1"/>
        <v>P6.F3</v>
      </c>
      <c r="D83" s="4" t="s">
        <v>568</v>
      </c>
      <c r="E83" s="12" t="s">
        <v>569</v>
      </c>
      <c r="F83" s="4" t="s">
        <v>570</v>
      </c>
      <c r="G83" s="19" t="str">
        <f>IFERROR(__xludf.DUMMYFUNCTION("""COMPUTED_VALUE"""),"Expand SBE and NCDPI efforts to support districts designated as
low-performing and districts experiencing financial challenges.")</f>
        <v>Expand SBE and NCDPI efforts to support districts designated as
low-performing and districts experiencing financial challenges.</v>
      </c>
      <c r="H83" s="19">
        <v>46813.0</v>
      </c>
      <c r="I83" s="12" t="str">
        <f t="shared" si="2"/>
        <v>Starts in March, 2028</v>
      </c>
      <c r="J83" s="12" t="str">
        <f>IFERROR(__xludf.DUMMYFUNCTION("SPLIT(REGEXREPLACE(F83, ""(.{1,76})(?:\s+|$)"", ""$1"" &amp; ""¶""), ""¶"")"),"Expand SBE and NCDPI efforts to support districts designated as")</f>
        <v>Expand SBE and NCDPI efforts to support districts designated as</v>
      </c>
      <c r="K83" s="4" t="str">
        <f>IFERROR(__xludf.DUMMYFUNCTION("""COMPUTED_VALUE"""),"low-performing and districts experiencing financial challenges.")</f>
        <v>low-performing and districts experiencing financial challenges.</v>
      </c>
    </row>
    <row r="84" ht="14.25" customHeight="1">
      <c r="A84" s="4" t="s">
        <v>38</v>
      </c>
      <c r="B84" s="4" t="s">
        <v>353</v>
      </c>
      <c r="C84" s="4" t="str">
        <f t="shared" si="1"/>
        <v>P6.F4</v>
      </c>
      <c r="D84" s="4" t="s">
        <v>571</v>
      </c>
      <c r="E84" s="12" t="s">
        <v>572</v>
      </c>
      <c r="F84" s="4" t="s">
        <v>573</v>
      </c>
      <c r="G84" s="19" t="str">
        <f>IFERROR(__xludf.DUMMYFUNCTION("""COMPUTED_VALUE"""),"Reliably assess multiple measures of student performance in grades 3-12 that
includes measures of progress towards ensuring all students graduate
prepared for their next phase of life.")</f>
        <v>Reliably assess multiple measures of student performance in grades 3-12 that
includes measures of progress towards ensuring all students graduate
prepared for their next phase of life.</v>
      </c>
      <c r="H84" s="19">
        <v>45931.0</v>
      </c>
      <c r="I84" s="12" t="str">
        <f t="shared" si="2"/>
        <v>Starts in October, 2025</v>
      </c>
      <c r="J84" s="12" t="str">
        <f>IFERROR(__xludf.DUMMYFUNCTION("SPLIT(REGEXREPLACE(F84, ""(.{1,76})(?:\s+|$)"", ""$1"" &amp; ""¶""), ""¶"")"),"Reliably assess multiple measures of student performance in grades 3-12 that")</f>
        <v>Reliably assess multiple measures of student performance in grades 3-12 that</v>
      </c>
      <c r="K84" s="4" t="str">
        <f>IFERROR(__xludf.DUMMYFUNCTION("""COMPUTED_VALUE"""),"includes measures of progress towards ensuring all students graduate")</f>
        <v>includes measures of progress towards ensuring all students graduate</v>
      </c>
      <c r="L84" s="4" t="str">
        <f>IFERROR(__xludf.DUMMYFUNCTION("""COMPUTED_VALUE"""),"prepared for their next phase of life.")</f>
        <v>prepared for their next phase of life.</v>
      </c>
    </row>
    <row r="85" ht="14.25" customHeight="1">
      <c r="A85" s="4" t="s">
        <v>38</v>
      </c>
      <c r="B85" s="4" t="s">
        <v>353</v>
      </c>
      <c r="C85" s="4" t="str">
        <f t="shared" si="1"/>
        <v>P6.F4</v>
      </c>
      <c r="D85" s="4" t="s">
        <v>574</v>
      </c>
      <c r="E85" s="12" t="s">
        <v>575</v>
      </c>
      <c r="F85" s="4" t="s">
        <v>576</v>
      </c>
      <c r="G85" s="19" t="str">
        <f>IFERROR(__xludf.DUMMYFUNCTION("""COMPUTED_VALUE"""),"Enhance interim assessments aligned to the North Carolina Standard Course of
Study, promote multiple measures beyond standardized assessments and provide
PSUs with the resources to increase progress monitoring using assessment
data.")</f>
        <v>Enhance interim assessments aligned to the North Carolina Standard Course of
Study, promote multiple measures beyond standardized assessments and provide
PSUs with the resources to increase progress monitoring using assessment
data.</v>
      </c>
      <c r="H85" s="19">
        <v>46023.0</v>
      </c>
      <c r="I85" s="12" t="str">
        <f t="shared" si="2"/>
        <v>Starts in January, 2026</v>
      </c>
      <c r="J85" s="12" t="str">
        <f>IFERROR(__xludf.DUMMYFUNCTION("SPLIT(REGEXREPLACE(F85, ""(.{1,76})(?:\s+|$)"", ""$1"" &amp; ""¶""), ""¶"")"),"Enhance interim assessments aligned to the North Carolina Standard Course of")</f>
        <v>Enhance interim assessments aligned to the North Carolina Standard Course of</v>
      </c>
      <c r="K85" s="4" t="str">
        <f>IFERROR(__xludf.DUMMYFUNCTION("""COMPUTED_VALUE"""),"Study, promote multiple measures beyond standardized assessments and provide")</f>
        <v>Study, promote multiple measures beyond standardized assessments and provide</v>
      </c>
      <c r="L85" s="4" t="str">
        <f>IFERROR(__xludf.DUMMYFUNCTION("""COMPUTED_VALUE"""),"PSUs with the resources to increase progress monitoring using assessment")</f>
        <v>PSUs with the resources to increase progress monitoring using assessment</v>
      </c>
      <c r="M85" s="4" t="str">
        <f>IFERROR(__xludf.DUMMYFUNCTION("""COMPUTED_VALUE"""),"data.")</f>
        <v>data.</v>
      </c>
    </row>
    <row r="86" ht="14.25" customHeight="1">
      <c r="A86" s="4" t="s">
        <v>38</v>
      </c>
      <c r="B86" s="4" t="s">
        <v>353</v>
      </c>
      <c r="C86" s="4" t="str">
        <f t="shared" si="1"/>
        <v>P6.F4</v>
      </c>
      <c r="D86" s="4" t="s">
        <v>577</v>
      </c>
      <c r="E86" s="12" t="s">
        <v>578</v>
      </c>
      <c r="F86" s="4" t="s">
        <v>579</v>
      </c>
      <c r="G86" s="19" t="str">
        <f>IFERROR(__xludf.DUMMYFUNCTION("""COMPUTED_VALUE"""),"Explore reforms to North Carolina’s school funding model to ensure
allocations are transparent, flexible and based on student needs.")</f>
        <v>Explore reforms to North Carolina’s school funding model to ensure
allocations are transparent, flexible and based on student needs.</v>
      </c>
      <c r="H86" s="19">
        <v>46327.0</v>
      </c>
      <c r="I86" s="12" t="str">
        <f t="shared" si="2"/>
        <v>Starts in November, 2026</v>
      </c>
      <c r="J86" s="12" t="str">
        <f>IFERROR(__xludf.DUMMYFUNCTION("SPLIT(REGEXREPLACE(F86, ""(.{1,76})(?:\s+|$)"", ""$1"" &amp; ""¶""), ""¶"")"),"Explore reforms to North Carolina’s school funding model to ensure")</f>
        <v>Explore reforms to North Carolina’s school funding model to ensure</v>
      </c>
      <c r="K86" s="4" t="str">
        <f>IFERROR(__xludf.DUMMYFUNCTION("""COMPUTED_VALUE"""),"allocations are transparent, flexible and based on student needs.")</f>
        <v>allocations are transparent, flexible and based on student needs.</v>
      </c>
    </row>
    <row r="87" ht="14.25" customHeight="1">
      <c r="A87" s="4" t="s">
        <v>38</v>
      </c>
      <c r="B87" s="4" t="s">
        <v>353</v>
      </c>
      <c r="C87" s="4" t="str">
        <f t="shared" si="1"/>
        <v>P6.F4</v>
      </c>
      <c r="D87" s="4" t="s">
        <v>580</v>
      </c>
      <c r="E87" s="12" t="s">
        <v>581</v>
      </c>
      <c r="F87" s="4" t="s">
        <v>582</v>
      </c>
      <c r="G87" s="19" t="str">
        <f>IFERROR(__xludf.DUMMYFUNCTION("""COMPUTED_VALUE"""),"Publish new School Performance Profiles based on the redesigned
accountability system to ensure public transparency and equip communities
with clear data on local school success.")</f>
        <v>Publish new School Performance Profiles based on the redesigned
accountability system to ensure public transparency and equip communities
with clear data on local school success.</v>
      </c>
      <c r="H87" s="19">
        <v>46357.0</v>
      </c>
      <c r="I87" s="12" t="str">
        <f t="shared" si="2"/>
        <v>Starts in December, 2026</v>
      </c>
      <c r="J87" s="12" t="str">
        <f>IFERROR(__xludf.DUMMYFUNCTION("SPLIT(REGEXREPLACE(F87, ""(.{1,76})(?:\s+|$)"", ""$1"" &amp; ""¶""), ""¶"")"),"Publish new School Performance Profiles based on the redesigned")</f>
        <v>Publish new School Performance Profiles based on the redesigned</v>
      </c>
      <c r="K87" s="4" t="str">
        <f>IFERROR(__xludf.DUMMYFUNCTION("""COMPUTED_VALUE"""),"accountability system to ensure public transparency and equip communities")</f>
        <v>accountability system to ensure public transparency and equip communities</v>
      </c>
      <c r="L87" s="4" t="str">
        <f>IFERROR(__xludf.DUMMYFUNCTION("""COMPUTED_VALUE"""),"with clear data on local school success.")</f>
        <v>with clear data on local school success.</v>
      </c>
    </row>
    <row r="88" ht="14.25" customHeight="1">
      <c r="A88" s="12" t="s">
        <v>43</v>
      </c>
      <c r="B88" s="12" t="s">
        <v>320</v>
      </c>
      <c r="C88" s="12" t="str">
        <f t="shared" si="1"/>
        <v>P7.F1</v>
      </c>
      <c r="D88" s="12" t="s">
        <v>583</v>
      </c>
      <c r="E88" s="12" t="s">
        <v>584</v>
      </c>
      <c r="F88" s="12" t="s">
        <v>585</v>
      </c>
      <c r="G88" s="18" t="str">
        <f>IFERROR(__xludf.DUMMYFUNCTION("""COMPUTED_VALUE"""),"Use research and assessment of current NCDPI partners’ initiatives and
messaging for public education.")</f>
        <v>Use research and assessment of current NCDPI partners’ initiatives and
messaging for public education.</v>
      </c>
      <c r="H88" s="18">
        <v>45931.0</v>
      </c>
      <c r="I88" s="12" t="str">
        <f t="shared" si="2"/>
        <v>Starts in October, 2025</v>
      </c>
      <c r="J88" s="12" t="str">
        <f>IFERROR(__xludf.DUMMYFUNCTION("SPLIT(REGEXREPLACE(F88, ""(.{1,76})(?:\s+|$)"", ""$1"" &amp; ""¶""), ""¶"")"),"Use research and assessment of current NCDPI partners’ initiatives and")</f>
        <v>Use research and assessment of current NCDPI partners’ initiatives and</v>
      </c>
      <c r="K88" s="12" t="str">
        <f>IFERROR(__xludf.DUMMYFUNCTION("""COMPUTED_VALUE"""),"messaging for public education.")</f>
        <v>messaging for public education.</v>
      </c>
      <c r="L88" s="12"/>
      <c r="M88" s="12"/>
      <c r="N88" s="12"/>
      <c r="O88" s="12"/>
      <c r="P88" s="12"/>
      <c r="Q88" s="12"/>
      <c r="R88" s="12"/>
      <c r="S88" s="12"/>
      <c r="T88" s="12"/>
      <c r="U88" s="12"/>
    </row>
    <row r="89" ht="14.25" customHeight="1">
      <c r="A89" s="12" t="s">
        <v>43</v>
      </c>
      <c r="B89" s="12" t="s">
        <v>320</v>
      </c>
      <c r="C89" s="12" t="str">
        <f t="shared" si="1"/>
        <v>P7.F1</v>
      </c>
      <c r="D89" s="12" t="s">
        <v>586</v>
      </c>
      <c r="E89" s="12" t="s">
        <v>587</v>
      </c>
      <c r="F89" s="12" t="s">
        <v>588</v>
      </c>
      <c r="G89" s="18" t="str">
        <f>IFERROR(__xludf.DUMMYFUNCTION("""COMPUTED_VALUE"""),"Work with partners to develop and test comprehensive public education
messaging.")</f>
        <v>Work with partners to develop and test comprehensive public education
messaging.</v>
      </c>
      <c r="H89" s="18">
        <v>46023.0</v>
      </c>
      <c r="I89" s="12" t="str">
        <f t="shared" si="2"/>
        <v>Starts in January, 2026</v>
      </c>
      <c r="J89" s="12" t="str">
        <f>IFERROR(__xludf.DUMMYFUNCTION("SPLIT(REGEXREPLACE(F89, ""(.{1,76})(?:\s+|$)"", ""$1"" &amp; ""¶""), ""¶"")"),"Work with partners to develop and test comprehensive public education")</f>
        <v>Work with partners to develop and test comprehensive public education</v>
      </c>
      <c r="K89" s="12" t="str">
        <f>IFERROR(__xludf.DUMMYFUNCTION("""COMPUTED_VALUE"""),"messaging.")</f>
        <v>messaging.</v>
      </c>
      <c r="L89" s="12"/>
      <c r="M89" s="12"/>
      <c r="N89" s="12"/>
      <c r="O89" s="12"/>
      <c r="P89" s="12"/>
      <c r="Q89" s="12"/>
      <c r="R89" s="12"/>
      <c r="S89" s="12"/>
      <c r="T89" s="12"/>
      <c r="U89" s="12"/>
    </row>
    <row r="90" ht="14.25" customHeight="1">
      <c r="A90" s="12" t="s">
        <v>43</v>
      </c>
      <c r="B90" s="12" t="s">
        <v>320</v>
      </c>
      <c r="C90" s="12" t="str">
        <f t="shared" si="1"/>
        <v>P7.F1</v>
      </c>
      <c r="D90" s="12" t="s">
        <v>589</v>
      </c>
      <c r="E90" s="12" t="s">
        <v>590</v>
      </c>
      <c r="F90" s="12" t="s">
        <v>591</v>
      </c>
      <c r="G90" s="18" t="str">
        <f>IFERROR(__xludf.DUMMYFUNCTION("""COMPUTED_VALUE"""),"Create accessible and engaging materials about how public education works
and is managed in North Carolina.")</f>
        <v>Create accessible and engaging materials about how public education works
and is managed in North Carolina.</v>
      </c>
      <c r="H90" s="18">
        <v>46082.0</v>
      </c>
      <c r="I90" s="12" t="str">
        <f t="shared" si="2"/>
        <v>Starts in March, 2026</v>
      </c>
      <c r="J90" s="12" t="str">
        <f>IFERROR(__xludf.DUMMYFUNCTION("SPLIT(REGEXREPLACE(F90, ""(.{1,76})(?:\s+|$)"", ""$1"" &amp; ""¶""), ""¶"")"),"Create accessible and engaging materials about how public education works")</f>
        <v>Create accessible and engaging materials about how public education works</v>
      </c>
      <c r="K90" s="12" t="str">
        <f>IFERROR(__xludf.DUMMYFUNCTION("""COMPUTED_VALUE"""),"and is managed in North Carolina.")</f>
        <v>and is managed in North Carolina.</v>
      </c>
      <c r="L90" s="12"/>
      <c r="M90" s="12"/>
      <c r="N90" s="12"/>
      <c r="O90" s="12"/>
      <c r="P90" s="12"/>
      <c r="Q90" s="12"/>
      <c r="R90" s="12"/>
      <c r="S90" s="12"/>
      <c r="T90" s="12"/>
      <c r="U90" s="12"/>
    </row>
    <row r="91" ht="14.25" customHeight="1">
      <c r="A91" s="12" t="s">
        <v>43</v>
      </c>
      <c r="B91" s="12" t="s">
        <v>320</v>
      </c>
      <c r="C91" s="12" t="str">
        <f t="shared" si="1"/>
        <v>P7.F1</v>
      </c>
      <c r="D91" s="12" t="s">
        <v>592</v>
      </c>
      <c r="E91" s="12" t="s">
        <v>593</v>
      </c>
      <c r="F91" s="12" t="s">
        <v>594</v>
      </c>
      <c r="G91" s="18" t="str">
        <f>IFERROR(__xludf.DUMMYFUNCTION("""COMPUTED_VALUE"""),"Create supportive materials and training for PIOs and NCDPI partners to
adopt and adapt and coordinate communications.")</f>
        <v>Create supportive materials and training for PIOs and NCDPI partners to
adopt and adapt and coordinate communications.</v>
      </c>
      <c r="H91" s="18">
        <v>46143.0</v>
      </c>
      <c r="I91" s="12" t="str">
        <f t="shared" si="2"/>
        <v>Starts in May, 2026</v>
      </c>
      <c r="J91" s="12" t="str">
        <f>IFERROR(__xludf.DUMMYFUNCTION("SPLIT(REGEXREPLACE(F91, ""(.{1,76})(?:\s+|$)"", ""$1"" &amp; ""¶""), ""¶"")"),"Create supportive materials and training for PIOs and NCDPI partners to")</f>
        <v>Create supportive materials and training for PIOs and NCDPI partners to</v>
      </c>
      <c r="K91" s="12" t="str">
        <f>IFERROR(__xludf.DUMMYFUNCTION("""COMPUTED_VALUE"""),"adopt and adapt and coordinate communications.")</f>
        <v>adopt and adapt and coordinate communications.</v>
      </c>
      <c r="L91" s="12"/>
      <c r="M91" s="12"/>
      <c r="N91" s="12"/>
      <c r="O91" s="12"/>
      <c r="P91" s="12"/>
      <c r="Q91" s="12"/>
      <c r="R91" s="12"/>
      <c r="S91" s="12"/>
      <c r="T91" s="12"/>
      <c r="U91" s="12"/>
    </row>
    <row r="92" ht="14.25" customHeight="1">
      <c r="A92" s="12" t="s">
        <v>43</v>
      </c>
      <c r="B92" s="12" t="s">
        <v>330</v>
      </c>
      <c r="C92" s="12" t="str">
        <f t="shared" si="1"/>
        <v>P7.F2</v>
      </c>
      <c r="D92" s="12" t="s">
        <v>595</v>
      </c>
      <c r="E92" s="12" t="s">
        <v>596</v>
      </c>
      <c r="F92" s="12" t="s">
        <v>597</v>
      </c>
      <c r="G92" s="18" t="str">
        <f>IFERROR(__xludf.DUMMYFUNCTION("""COMPUTED_VALUE"""),"Engage, align and support PSU communications staff to align communication
efforts that celebrate public education.")</f>
        <v>Engage, align and support PSU communications staff to align communication
efforts that celebrate public education.</v>
      </c>
      <c r="H92" s="18">
        <v>45992.0</v>
      </c>
      <c r="I92" s="12" t="str">
        <f t="shared" si="2"/>
        <v>Starts in December, 2025</v>
      </c>
      <c r="J92" s="12" t="str">
        <f>IFERROR(__xludf.DUMMYFUNCTION("SPLIT(REGEXREPLACE(F92, ""(.{1,76})(?:\s+|$)"", ""$1"" &amp; ""¶""), ""¶"")"),"Engage, align and support PSU communications staff to align communication")</f>
        <v>Engage, align and support PSU communications staff to align communication</v>
      </c>
      <c r="K92" s="12" t="str">
        <f>IFERROR(__xludf.DUMMYFUNCTION("""COMPUTED_VALUE"""),"efforts that celebrate public education.")</f>
        <v>efforts that celebrate public education.</v>
      </c>
      <c r="L92" s="12"/>
      <c r="M92" s="12"/>
      <c r="N92" s="12"/>
      <c r="O92" s="12"/>
      <c r="P92" s="12"/>
      <c r="Q92" s="12"/>
      <c r="R92" s="12"/>
      <c r="S92" s="12"/>
      <c r="T92" s="12"/>
      <c r="U92" s="12"/>
    </row>
    <row r="93" ht="14.25" customHeight="1">
      <c r="A93" s="12" t="s">
        <v>43</v>
      </c>
      <c r="B93" s="12" t="s">
        <v>330</v>
      </c>
      <c r="C93" s="12" t="str">
        <f t="shared" si="1"/>
        <v>P7.F2</v>
      </c>
      <c r="D93" s="12" t="s">
        <v>598</v>
      </c>
      <c r="E93" s="12" t="s">
        <v>599</v>
      </c>
      <c r="F93" s="12" t="s">
        <v>600</v>
      </c>
      <c r="G93" s="18" t="str">
        <f>IFERROR(__xludf.DUMMYFUNCTION("""COMPUTED_VALUE"""),"Engage, connect and support NCDPI staff and education partners’
communication efforts for this initiative.")</f>
        <v>Engage, connect and support NCDPI staff and education partners’
communication efforts for this initiative.</v>
      </c>
      <c r="H93" s="18">
        <v>46082.0</v>
      </c>
      <c r="I93" s="12" t="str">
        <f t="shared" si="2"/>
        <v>Starts in March, 2026</v>
      </c>
      <c r="J93" s="12" t="str">
        <f>IFERROR(__xludf.DUMMYFUNCTION("SPLIT(REGEXREPLACE(F93, ""(.{1,76})(?:\s+|$)"", ""$1"" &amp; ""¶""), ""¶"")"),"Engage, connect and support NCDPI staff and education partners’")</f>
        <v>Engage, connect and support NCDPI staff and education partners’</v>
      </c>
      <c r="K93" s="12" t="str">
        <f>IFERROR(__xludf.DUMMYFUNCTION("""COMPUTED_VALUE"""),"communication efforts for this initiative.")</f>
        <v>communication efforts for this initiative.</v>
      </c>
      <c r="L93" s="12"/>
      <c r="M93" s="12"/>
      <c r="N93" s="12"/>
      <c r="O93" s="12"/>
      <c r="P93" s="12"/>
      <c r="Q93" s="12"/>
      <c r="R93" s="12"/>
      <c r="S93" s="12"/>
      <c r="T93" s="12"/>
      <c r="U93" s="12"/>
    </row>
    <row r="94" ht="14.25" customHeight="1">
      <c r="A94" s="12" t="s">
        <v>43</v>
      </c>
      <c r="B94" s="12" t="s">
        <v>330</v>
      </c>
      <c r="C94" s="12" t="str">
        <f t="shared" si="1"/>
        <v>P7.F2</v>
      </c>
      <c r="D94" s="12" t="s">
        <v>601</v>
      </c>
      <c r="E94" s="12" t="s">
        <v>602</v>
      </c>
      <c r="F94" s="12" t="s">
        <v>603</v>
      </c>
      <c r="G94" s="18" t="str">
        <f>IFERROR(__xludf.DUMMYFUNCTION("""COMPUTED_VALUE"""),"Engage and align non-education partners’ communication efforts for this
initiative.")</f>
        <v>Engage and align non-education partners’ communication efforts for this
initiative.</v>
      </c>
      <c r="H94" s="18">
        <v>46204.0</v>
      </c>
      <c r="I94" s="12" t="str">
        <f t="shared" si="2"/>
        <v>Starts in July, 2026</v>
      </c>
      <c r="J94" s="12" t="str">
        <f>IFERROR(__xludf.DUMMYFUNCTION("SPLIT(REGEXREPLACE(F94, ""(.{1,76})(?:\s+|$)"", ""$1"" &amp; ""¶""), ""¶"")"),"Engage and align non-education partners’ communication efforts for this")</f>
        <v>Engage and align non-education partners’ communication efforts for this</v>
      </c>
      <c r="K94" s="12" t="str">
        <f>IFERROR(__xludf.DUMMYFUNCTION("""COMPUTED_VALUE"""),"initiative.")</f>
        <v>initiative.</v>
      </c>
      <c r="L94" s="12"/>
      <c r="M94" s="12"/>
      <c r="N94" s="12"/>
      <c r="O94" s="12"/>
      <c r="P94" s="12"/>
      <c r="Q94" s="12"/>
      <c r="R94" s="12"/>
      <c r="S94" s="12"/>
      <c r="T94" s="12"/>
      <c r="U94" s="12"/>
    </row>
    <row r="95" ht="14.25" customHeight="1">
      <c r="A95" s="12" t="s">
        <v>43</v>
      </c>
      <c r="B95" s="12" t="s">
        <v>340</v>
      </c>
      <c r="C95" s="12" t="str">
        <f t="shared" si="1"/>
        <v>P7.F3</v>
      </c>
      <c r="D95" s="12" t="s">
        <v>604</v>
      </c>
      <c r="E95" s="12" t="s">
        <v>605</v>
      </c>
      <c r="F95" s="12" t="s">
        <v>606</v>
      </c>
      <c r="G95" s="18" t="str">
        <f>IFERROR(__xludf.DUMMYFUNCTION("""COMPUTED_VALUE"""),"Work with education partners on statewide communication efforts that uplift
success stories, testimonials and positive narratives about public schools.")</f>
        <v>Work with education partners on statewide communication efforts that uplift
success stories, testimonials and positive narratives about public schools.</v>
      </c>
      <c r="H95" s="18">
        <v>45992.0</v>
      </c>
      <c r="I95" s="12" t="str">
        <f t="shared" si="2"/>
        <v>Starts in December, 2025</v>
      </c>
      <c r="J95" s="12" t="str">
        <f>IFERROR(__xludf.DUMMYFUNCTION("SPLIT(REGEXREPLACE(F95, ""(.{1,76})(?:\s+|$)"", ""$1"" &amp; ""¶""), ""¶"")"),"Work with education partners on statewide communication efforts that uplift")</f>
        <v>Work with education partners on statewide communication efforts that uplift</v>
      </c>
      <c r="K95" s="12" t="str">
        <f>IFERROR(__xludf.DUMMYFUNCTION("""COMPUTED_VALUE"""),"success stories, testimonials and positive narratives about public schools.")</f>
        <v>success stories, testimonials and positive narratives about public schools.</v>
      </c>
      <c r="L95" s="12"/>
      <c r="M95" s="12"/>
      <c r="N95" s="12"/>
      <c r="O95" s="12"/>
      <c r="P95" s="12"/>
      <c r="Q95" s="12"/>
      <c r="R95" s="12"/>
      <c r="S95" s="12"/>
      <c r="T95" s="12"/>
      <c r="U95" s="12"/>
    </row>
    <row r="96" ht="14.25" customHeight="1">
      <c r="A96" s="12" t="s">
        <v>43</v>
      </c>
      <c r="B96" s="12" t="s">
        <v>340</v>
      </c>
      <c r="C96" s="12" t="str">
        <f t="shared" si="1"/>
        <v>P7.F3</v>
      </c>
      <c r="D96" s="12" t="s">
        <v>607</v>
      </c>
      <c r="E96" s="12" t="s">
        <v>608</v>
      </c>
      <c r="F96" s="12" t="s">
        <v>609</v>
      </c>
      <c r="G96" s="18" t="str">
        <f>IFERROR(__xludf.DUMMYFUNCTION("""COMPUTED_VALUE"""),"Coordinate and share messaging that celebrates public education successes.")</f>
        <v>Coordinate and share messaging that celebrates public education successes.</v>
      </c>
      <c r="H96" s="18">
        <v>46082.0</v>
      </c>
      <c r="I96" s="12" t="str">
        <f t="shared" si="2"/>
        <v>Starts in March, 2026</v>
      </c>
      <c r="J96" s="12" t="str">
        <f>IFERROR(__xludf.DUMMYFUNCTION("SPLIT(REGEXREPLACE(F96, ""(.{1,76})(?:\s+|$)"", ""$1"" &amp; ""¶""), ""¶"")"),"Coordinate and share messaging that celebrates public education successes.")</f>
        <v>Coordinate and share messaging that celebrates public education successes.</v>
      </c>
      <c r="K96" s="12"/>
      <c r="L96" s="12"/>
      <c r="M96" s="12"/>
      <c r="N96" s="12"/>
      <c r="O96" s="12"/>
      <c r="P96" s="12"/>
      <c r="Q96" s="12"/>
      <c r="R96" s="12"/>
      <c r="S96" s="12"/>
      <c r="T96" s="12"/>
      <c r="U96" s="12"/>
    </row>
    <row r="97" ht="14.25" customHeight="1">
      <c r="A97" s="12" t="s">
        <v>43</v>
      </c>
      <c r="B97" s="12" t="s">
        <v>340</v>
      </c>
      <c r="C97" s="12" t="str">
        <f t="shared" si="1"/>
        <v>P7.F3</v>
      </c>
      <c r="D97" s="12" t="s">
        <v>610</v>
      </c>
      <c r="E97" s="12" t="s">
        <v>611</v>
      </c>
      <c r="F97" s="12" t="s">
        <v>612</v>
      </c>
      <c r="G97" s="18" t="str">
        <f>IFERROR(__xludf.DUMMYFUNCTION("""COMPUTED_VALUE"""),"Encourage joint events and community engagement activities where NCDPI and
education partners present unified messaging about public education.")</f>
        <v>Encourage joint events and community engagement activities where NCDPI and
education partners present unified messaging about public education.</v>
      </c>
      <c r="H97" s="18">
        <v>46143.0</v>
      </c>
      <c r="I97" s="12" t="str">
        <f t="shared" si="2"/>
        <v>Starts in May, 2026</v>
      </c>
      <c r="J97" s="12" t="str">
        <f>IFERROR(__xludf.DUMMYFUNCTION("SPLIT(REGEXREPLACE(F97, ""(.{1,76})(?:\s+|$)"", ""$1"" &amp; ""¶""), ""¶"")"),"Encourage joint events and community engagement activities where NCDPI and")</f>
        <v>Encourage joint events and community engagement activities where NCDPI and</v>
      </c>
      <c r="K97" s="12" t="str">
        <f>IFERROR(__xludf.DUMMYFUNCTION("""COMPUTED_VALUE"""),"education partners present unified messaging about public education.")</f>
        <v>education partners present unified messaging about public education.</v>
      </c>
      <c r="L97" s="12"/>
      <c r="M97" s="12"/>
      <c r="N97" s="12"/>
      <c r="O97" s="12"/>
      <c r="P97" s="12"/>
      <c r="Q97" s="12"/>
      <c r="R97" s="12"/>
      <c r="S97" s="12"/>
      <c r="T97" s="12"/>
      <c r="U97" s="12"/>
    </row>
    <row r="98" ht="14.25" customHeight="1">
      <c r="A98" s="12" t="s">
        <v>43</v>
      </c>
      <c r="B98" s="12" t="s">
        <v>340</v>
      </c>
      <c r="C98" s="12" t="str">
        <f t="shared" si="1"/>
        <v>P7.F3</v>
      </c>
      <c r="D98" s="12" t="s">
        <v>613</v>
      </c>
      <c r="E98" s="12" t="s">
        <v>614</v>
      </c>
      <c r="F98" s="12" t="s">
        <v>615</v>
      </c>
      <c r="G98" s="18" t="str">
        <f>IFERROR(__xludf.DUMMYFUNCTION("""COMPUTED_VALUE"""),"Evaluate the initiative’s impact on public school satisfaction, knowledge
and perception from families, students and North Carolina residents.")</f>
        <v>Evaluate the initiative’s impact on public school satisfaction, knowledge
and perception from families, students and North Carolina residents.</v>
      </c>
      <c r="H98" s="18">
        <v>46388.0</v>
      </c>
      <c r="I98" s="12" t="str">
        <f t="shared" si="2"/>
        <v>Starts in January, 2027</v>
      </c>
      <c r="J98" s="12" t="str">
        <f>IFERROR(__xludf.DUMMYFUNCTION("SPLIT(REGEXREPLACE(F98, ""(.{1,76})(?:\s+|$)"", ""$1"" &amp; ""¶""), ""¶"")"),"Evaluate the initiative’s impact on public school satisfaction, knowledge")</f>
        <v>Evaluate the initiative’s impact on public school satisfaction, knowledge</v>
      </c>
      <c r="K98" s="12" t="str">
        <f>IFERROR(__xludf.DUMMYFUNCTION("""COMPUTED_VALUE"""),"and perception from families, students and North Carolina residents.")</f>
        <v>and perception from families, students and North Carolina residents.</v>
      </c>
      <c r="L98" s="12"/>
      <c r="M98" s="12"/>
      <c r="N98" s="12"/>
      <c r="O98" s="12"/>
      <c r="P98" s="12"/>
      <c r="Q98" s="12"/>
      <c r="R98" s="12"/>
      <c r="S98" s="12"/>
      <c r="T98" s="12"/>
      <c r="U98" s="12"/>
    </row>
    <row r="99" ht="14.25" customHeight="1">
      <c r="A99" s="4" t="s">
        <v>50</v>
      </c>
      <c r="B99" s="4" t="s">
        <v>320</v>
      </c>
      <c r="C99" s="4" t="str">
        <f t="shared" si="1"/>
        <v>P8.F1</v>
      </c>
      <c r="D99" s="4" t="s">
        <v>616</v>
      </c>
      <c r="E99" s="12" t="s">
        <v>617</v>
      </c>
      <c r="F99" s="4" t="s">
        <v>618</v>
      </c>
      <c r="G99" s="19" t="str">
        <f>IFERROR(__xludf.DUMMYFUNCTION("""COMPUTED_VALUE"""),"Engage and train partners and communicators to advocate for public
education.")</f>
        <v>Engage and train partners and communicators to advocate for public
education.</v>
      </c>
      <c r="H99" s="19">
        <v>46143.0</v>
      </c>
      <c r="I99" s="12" t="str">
        <f t="shared" si="2"/>
        <v>Starts in May, 2026</v>
      </c>
      <c r="J99" s="12" t="str">
        <f>IFERROR(__xludf.DUMMYFUNCTION("SPLIT(REGEXREPLACE(F99, ""(.{1,76})(?:\s+|$)"", ""$1"" &amp; ""¶""), ""¶"")"),"Engage and train partners and communicators to advocate for public")</f>
        <v>Engage and train partners and communicators to advocate for public</v>
      </c>
      <c r="K99" s="4" t="str">
        <f>IFERROR(__xludf.DUMMYFUNCTION("""COMPUTED_VALUE"""),"education.")</f>
        <v>education.</v>
      </c>
    </row>
    <row r="100" ht="14.25" customHeight="1">
      <c r="A100" s="4" t="s">
        <v>50</v>
      </c>
      <c r="B100" s="4" t="s">
        <v>320</v>
      </c>
      <c r="C100" s="4" t="str">
        <f t="shared" si="1"/>
        <v>P8.F1</v>
      </c>
      <c r="D100" s="4" t="s">
        <v>619</v>
      </c>
      <c r="E100" s="12" t="s">
        <v>620</v>
      </c>
      <c r="F100" s="4" t="s">
        <v>621</v>
      </c>
      <c r="G100" s="19" t="str">
        <f>IFERROR(__xludf.DUMMYFUNCTION("""COMPUTED_VALUE"""),"Connect and align NCDPI, education partners and allies to support local,
regional and statewide efforts.")</f>
        <v>Connect and align NCDPI, education partners and allies to support local,
regional and statewide efforts.</v>
      </c>
      <c r="H100" s="19">
        <v>46266.0</v>
      </c>
      <c r="I100" s="12" t="str">
        <f t="shared" si="2"/>
        <v>Starts in September, 2026</v>
      </c>
      <c r="J100" s="12" t="str">
        <f>IFERROR(__xludf.DUMMYFUNCTION("SPLIT(REGEXREPLACE(F100, ""(.{1,76})(?:\s+|$)"", ""$1"" &amp; ""¶""), ""¶"")"),"Connect and align NCDPI, education partners and allies to support local,")</f>
        <v>Connect and align NCDPI, education partners and allies to support local,</v>
      </c>
      <c r="K100" s="4" t="str">
        <f>IFERROR(__xludf.DUMMYFUNCTION("""COMPUTED_VALUE"""),"regional and statewide efforts.")</f>
        <v>regional and statewide efforts.</v>
      </c>
    </row>
    <row r="101" ht="14.25" customHeight="1">
      <c r="A101" s="4" t="s">
        <v>50</v>
      </c>
      <c r="B101" s="4" t="s">
        <v>320</v>
      </c>
      <c r="C101" s="4" t="str">
        <f t="shared" si="1"/>
        <v>P8.F1</v>
      </c>
      <c r="D101" s="4" t="s">
        <v>622</v>
      </c>
      <c r="E101" s="12" t="s">
        <v>623</v>
      </c>
      <c r="F101" s="4" t="s">
        <v>624</v>
      </c>
      <c r="G101" s="19" t="str">
        <f>IFERROR(__xludf.DUMMYFUNCTION("""COMPUTED_VALUE"""),"Encourage and support aligned initiatives and outreach via social media,
media and events.")</f>
        <v>Encourage and support aligned initiatives and outreach via social media,
media and events.</v>
      </c>
      <c r="H101" s="19">
        <v>46266.0</v>
      </c>
      <c r="I101" s="12" t="str">
        <f t="shared" si="2"/>
        <v>Starts in September, 2026</v>
      </c>
      <c r="J101" s="12" t="str">
        <f>IFERROR(__xludf.DUMMYFUNCTION("SPLIT(REGEXREPLACE(F101, ""(.{1,76})(?:\s+|$)"", ""$1"" &amp; ""¶""), ""¶"")"),"Encourage and support aligned initiatives and outreach via social media,")</f>
        <v>Encourage and support aligned initiatives and outreach via social media,</v>
      </c>
      <c r="K101" s="4" t="str">
        <f>IFERROR(__xludf.DUMMYFUNCTION("""COMPUTED_VALUE"""),"media and events.")</f>
        <v>media and events.</v>
      </c>
    </row>
    <row r="102" ht="14.25" customHeight="1">
      <c r="A102" s="4" t="s">
        <v>50</v>
      </c>
      <c r="B102" s="4" t="s">
        <v>330</v>
      </c>
      <c r="C102" s="4" t="str">
        <f t="shared" si="1"/>
        <v>P8.F2</v>
      </c>
      <c r="D102" s="4" t="s">
        <v>625</v>
      </c>
      <c r="E102" s="12" t="s">
        <v>626</v>
      </c>
      <c r="F102" s="4" t="s">
        <v>627</v>
      </c>
      <c r="G102" s="19" t="str">
        <f>IFERROR(__xludf.DUMMYFUNCTION("""COMPUTED_VALUE"""),"Develop and launch a statewide reading campaign where students will
collectively read 10 million books annually, in collaboration with state and
local partners.")</f>
        <v>Develop and launch a statewide reading campaign where students will
collectively read 10 million books annually, in collaboration with state and
local partners.</v>
      </c>
      <c r="H102" s="19">
        <v>46023.0</v>
      </c>
      <c r="I102" s="12" t="str">
        <f t="shared" si="2"/>
        <v>Starts in January, 2026</v>
      </c>
      <c r="J102" s="12" t="str">
        <f>IFERROR(__xludf.DUMMYFUNCTION("SPLIT(REGEXREPLACE(F102, ""(.{1,76})(?:\s+|$)"", ""$1"" &amp; ""¶""), ""¶"")"),"Develop and launch a statewide reading campaign where students will")</f>
        <v>Develop and launch a statewide reading campaign where students will</v>
      </c>
      <c r="K102" s="4" t="str">
        <f>IFERROR(__xludf.DUMMYFUNCTION("""COMPUTED_VALUE"""),"collectively read 10 million books annually, in collaboration with state and")</f>
        <v>collectively read 10 million books annually, in collaboration with state and</v>
      </c>
      <c r="L102" s="4" t="str">
        <f>IFERROR(__xludf.DUMMYFUNCTION("""COMPUTED_VALUE"""),"local partners.")</f>
        <v>local partners.</v>
      </c>
    </row>
    <row r="103" ht="14.25" customHeight="1">
      <c r="A103" s="4" t="s">
        <v>50</v>
      </c>
      <c r="B103" s="4" t="s">
        <v>330</v>
      </c>
      <c r="C103" s="4" t="str">
        <f t="shared" si="1"/>
        <v>P8.F2</v>
      </c>
      <c r="D103" s="4" t="s">
        <v>628</v>
      </c>
      <c r="E103" s="12" t="s">
        <v>629</v>
      </c>
      <c r="F103" s="4" t="s">
        <v>630</v>
      </c>
      <c r="G103" s="19" t="str">
        <f>IFERROR(__xludf.DUMMYFUNCTION("""COMPUTED_VALUE"""),"Develop toolkits for PSUs to engage families and partners in their schools.")</f>
        <v>Develop toolkits for PSUs to engage families and partners in their schools.</v>
      </c>
      <c r="H103" s="19">
        <v>46235.0</v>
      </c>
      <c r="I103" s="12" t="str">
        <f t="shared" si="2"/>
        <v>Starts in August, 2026</v>
      </c>
      <c r="J103" s="12" t="str">
        <f>IFERROR(__xludf.DUMMYFUNCTION("SPLIT(REGEXREPLACE(F103, ""(.{1,76})(?:\s+|$)"", ""$1"" &amp; ""¶""), ""¶"")"),"Develop toolkits for PSUs to engage families and partners in their schools.")</f>
        <v>Develop toolkits for PSUs to engage families and partners in their schools.</v>
      </c>
    </row>
    <row r="104" ht="14.25" customHeight="1">
      <c r="A104" s="4" t="s">
        <v>50</v>
      </c>
      <c r="B104" s="4" t="s">
        <v>330</v>
      </c>
      <c r="C104" s="4" t="str">
        <f t="shared" si="1"/>
        <v>P8.F2</v>
      </c>
      <c r="D104" s="4" t="s">
        <v>631</v>
      </c>
      <c r="E104" s="12" t="s">
        <v>632</v>
      </c>
      <c r="F104" s="4" t="s">
        <v>633</v>
      </c>
      <c r="G104" s="20" t="str">
        <f>IFERROR(__xludf.DUMMYFUNCTION("""COMPUTED_VALUE"""),"Develop toolkits for local chambers, businesses and community organizations
to work with eighth graders on their career development plans and 12th
graders on their postsecondary plans.")</f>
        <v>Develop toolkits for local chambers, businesses and community organizations
to work with eighth graders on their career development plans and 12th
graders on their postsecondary plans.</v>
      </c>
      <c r="H104" s="20">
        <v>46388.0</v>
      </c>
      <c r="I104" s="12" t="str">
        <f t="shared" si="2"/>
        <v>Starts in January, 2027</v>
      </c>
      <c r="J104" s="12" t="str">
        <f>IFERROR(__xludf.DUMMYFUNCTION("SPLIT(REGEXREPLACE(F104, ""(.{1,76})(?:\s+|$)"", ""$1"" &amp; ""¶""), ""¶"")"),"Develop toolkits for local chambers, businesses and community organizations")</f>
        <v>Develop toolkits for local chambers, businesses and community organizations</v>
      </c>
      <c r="K104" s="4" t="str">
        <f>IFERROR(__xludf.DUMMYFUNCTION("""COMPUTED_VALUE"""),"to work with eighth graders on their career development plans and 12th")</f>
        <v>to work with eighth graders on their career development plans and 12th</v>
      </c>
      <c r="L104" s="4" t="str">
        <f>IFERROR(__xludf.DUMMYFUNCTION("""COMPUTED_VALUE"""),"graders on their postsecondary plans.")</f>
        <v>graders on their postsecondary plans.</v>
      </c>
    </row>
    <row r="105" ht="14.25" customHeight="1">
      <c r="A105" s="4" t="s">
        <v>50</v>
      </c>
      <c r="B105" s="4" t="s">
        <v>340</v>
      </c>
      <c r="C105" s="4" t="str">
        <f t="shared" si="1"/>
        <v>P8.F3</v>
      </c>
      <c r="D105" s="4" t="s">
        <v>634</v>
      </c>
      <c r="E105" s="12" t="s">
        <v>635</v>
      </c>
      <c r="F105" s="4" t="s">
        <v>636</v>
      </c>
      <c r="G105" s="19" t="str">
        <f>IFERROR(__xludf.DUMMYFUNCTION("""COMPUTED_VALUE"""),"Engage local and state policymakers to attend events, visit schools and
participate in public education initiatives.")</f>
        <v>Engage local and state policymakers to attend events, visit schools and
participate in public education initiatives.</v>
      </c>
      <c r="H105" s="19">
        <v>46235.0</v>
      </c>
      <c r="I105" s="12" t="str">
        <f t="shared" si="2"/>
        <v>Starts in August, 2026</v>
      </c>
      <c r="J105" s="12" t="str">
        <f>IFERROR(__xludf.DUMMYFUNCTION("SPLIT(REGEXREPLACE(F105, ""(.{1,76})(?:\s+|$)"", ""$1"" &amp; ""¶""), ""¶"")"),"Engage local and state policymakers to attend events, visit schools and")</f>
        <v>Engage local and state policymakers to attend events, visit schools and</v>
      </c>
      <c r="K105" s="4" t="str">
        <f>IFERROR(__xludf.DUMMYFUNCTION("""COMPUTED_VALUE"""),"participate in public education initiatives.")</f>
        <v>participate in public education initiatives.</v>
      </c>
    </row>
    <row r="106" ht="14.25" customHeight="1">
      <c r="A106" s="4" t="s">
        <v>50</v>
      </c>
      <c r="B106" s="4" t="s">
        <v>340</v>
      </c>
      <c r="C106" s="4" t="str">
        <f t="shared" si="1"/>
        <v>P8.F3</v>
      </c>
      <c r="D106" s="4" t="s">
        <v>637</v>
      </c>
      <c r="E106" s="12" t="s">
        <v>638</v>
      </c>
      <c r="F106" s="4" t="s">
        <v>639</v>
      </c>
      <c r="G106" s="19" t="str">
        <f>IFERROR(__xludf.DUMMYFUNCTION("""COMPUTED_VALUE"""),"Engage businesses, individuals and philanthropic organizations to invest in
PSUs at the local, regional and state levels.")</f>
        <v>Engage businesses, individuals and philanthropic organizations to invest in
PSUs at the local, regional and state levels.</v>
      </c>
      <c r="H106" s="19">
        <v>46296.0</v>
      </c>
      <c r="I106" s="12" t="str">
        <f t="shared" si="2"/>
        <v>Starts in October, 2026</v>
      </c>
      <c r="J106" s="12" t="str">
        <f>IFERROR(__xludf.DUMMYFUNCTION("SPLIT(REGEXREPLACE(F106, ""(.{1,76})(?:\s+|$)"", ""$1"" &amp; ""¶""), ""¶"")"),"Engage businesses, individuals and philanthropic organizations to invest in")</f>
        <v>Engage businesses, individuals and philanthropic organizations to invest in</v>
      </c>
      <c r="K106" s="4" t="str">
        <f>IFERROR(__xludf.DUMMYFUNCTION("""COMPUTED_VALUE"""),"PSUs at the local, regional and state levels.")</f>
        <v>PSUs at the local, regional and state levels.</v>
      </c>
    </row>
    <row r="107" ht="14.25" customHeight="1">
      <c r="A107" s="4" t="s">
        <v>50</v>
      </c>
      <c r="B107" s="4" t="s">
        <v>340</v>
      </c>
      <c r="C107" s="4" t="str">
        <f t="shared" si="1"/>
        <v>P8.F3</v>
      </c>
      <c r="D107" s="4" t="s">
        <v>640</v>
      </c>
      <c r="E107" s="12" t="s">
        <v>641</v>
      </c>
      <c r="F107" s="4" t="s">
        <v>642</v>
      </c>
      <c r="G107" s="19" t="str">
        <f>IFERROR(__xludf.DUMMYFUNCTION("""COMPUTED_VALUE"""),"Work with partners to advocate for investments in public schools, especially
for initiatives for improving student achievement and school infrastructure.")</f>
        <v>Work with partners to advocate for investments in public schools, especially
for initiatives for improving student achievement and school infrastructure.</v>
      </c>
      <c r="H107" s="19">
        <v>46327.0</v>
      </c>
      <c r="I107" s="12" t="str">
        <f t="shared" si="2"/>
        <v>Starts in November, 2026</v>
      </c>
      <c r="J107" s="12" t="str">
        <f>IFERROR(__xludf.DUMMYFUNCTION("SPLIT(REGEXREPLACE(F107, ""(.{1,76})(?:\s+|$)"", ""$1"" &amp; ""¶""), ""¶"")"),"Work with partners to advocate for investments in public schools, especially")</f>
        <v>Work with partners to advocate for investments in public schools, especially</v>
      </c>
      <c r="K107" s="4" t="str">
        <f>IFERROR(__xludf.DUMMYFUNCTION("""COMPUTED_VALUE"""),"for initiatives for improving student achievement and school infrastructure.")</f>
        <v>for initiatives for improving student achievement and school infrastructure.</v>
      </c>
    </row>
    <row r="108" ht="14.25" customHeight="1">
      <c r="A108" s="4" t="s">
        <v>50</v>
      </c>
      <c r="B108" s="4" t="s">
        <v>340</v>
      </c>
      <c r="C108" s="4" t="str">
        <f t="shared" si="1"/>
        <v>P8.F3</v>
      </c>
      <c r="D108" s="4" t="s">
        <v>643</v>
      </c>
      <c r="E108" s="12" t="s">
        <v>644</v>
      </c>
      <c r="F108" s="4" t="s">
        <v>645</v>
      </c>
      <c r="G108" s="19" t="str">
        <f>IFERROR(__xludf.DUMMYFUNCTION("""COMPUTED_VALUE"""),"Create a statewide foundation to fund various initiatives in this and future
strategic plans.")</f>
        <v>Create a statewide foundation to fund various initiatives in this and future
strategic plans.</v>
      </c>
      <c r="H108" s="19">
        <v>46357.0</v>
      </c>
      <c r="I108" s="12" t="str">
        <f t="shared" si="2"/>
        <v>Starts in December, 2026</v>
      </c>
      <c r="J108" s="12" t="str">
        <f>IFERROR(__xludf.DUMMYFUNCTION("SPLIT(REGEXREPLACE(F108, ""(.{1,76})(?:\s+|$)"", ""$1"" &amp; ""¶""), ""¶"")"),"Create a statewide foundation to fund various initiatives in this and future")</f>
        <v>Create a statewide foundation to fund various initiatives in this and future</v>
      </c>
      <c r="K108" s="4" t="str">
        <f>IFERROR(__xludf.DUMMYFUNCTION("""COMPUTED_VALUE"""),"strategic plans.")</f>
        <v>strategic plans.</v>
      </c>
    </row>
    <row r="109" ht="14.25" customHeight="1">
      <c r="A109" s="4" t="s">
        <v>50</v>
      </c>
      <c r="B109" s="4" t="s">
        <v>340</v>
      </c>
      <c r="C109" s="4" t="str">
        <f t="shared" si="1"/>
        <v>P8.F3</v>
      </c>
      <c r="D109" s="4" t="s">
        <v>646</v>
      </c>
      <c r="E109" s="12" t="s">
        <v>647</v>
      </c>
      <c r="F109" s="4" t="s">
        <v>648</v>
      </c>
      <c r="G109" s="19" t="str">
        <f>IFERROR(__xludf.DUMMYFUNCTION("""COMPUTED_VALUE"""),"Highlight the changing narrative on public education in North Carolina and
how it is part of the state’s identity.")</f>
        <v>Highlight the changing narrative on public education in North Carolina and
how it is part of the state’s identity.</v>
      </c>
      <c r="H109" s="19">
        <v>47058.0</v>
      </c>
      <c r="I109" s="12" t="str">
        <f t="shared" si="2"/>
        <v>Starts in November, 2028</v>
      </c>
      <c r="J109" s="12" t="str">
        <f>IFERROR(__xludf.DUMMYFUNCTION("SPLIT(REGEXREPLACE(F109, ""(.{1,76})(?:\s+|$)"", ""$1"" &amp; ""¶""), ""¶"")"),"Highlight the changing narrative on public education in North Carolina and")</f>
        <v>Highlight the changing narrative on public education in North Carolina and</v>
      </c>
      <c r="K109" s="4" t="str">
        <f>IFERROR(__xludf.DUMMYFUNCTION("""COMPUTED_VALUE"""),"how it is part of the state’s identity.")</f>
        <v>how it is part of the state’s identity.</v>
      </c>
    </row>
    <row r="110" ht="14.25" customHeight="1">
      <c r="A110" s="4" t="s">
        <v>50</v>
      </c>
      <c r="B110" s="4" t="s">
        <v>340</v>
      </c>
      <c r="C110" s="4" t="str">
        <f t="shared" si="1"/>
        <v>P8.F3</v>
      </c>
      <c r="D110" s="4" t="s">
        <v>649</v>
      </c>
      <c r="E110" s="12" t="s">
        <v>650</v>
      </c>
      <c r="F110" s="4" t="s">
        <v>651</v>
      </c>
      <c r="G110" s="19" t="str">
        <f>IFERROR(__xludf.DUMMYFUNCTION("""COMPUTED_VALUE"""),"Work with partners to explore creating an endowment that will allow all
public high school graduates, regardless of income, to attend at least two
years of postsecondary education completely tuition-free inclusive of
federal and state financial aid.")</f>
        <v>Work with partners to explore creating an endowment that will allow all
public high school graduates, regardless of income, to attend at least two
years of postsecondary education completely tuition-free inclusive of
federal and state financial aid.</v>
      </c>
      <c r="H110" s="19">
        <v>47635.0</v>
      </c>
      <c r="I110" s="12" t="str">
        <f t="shared" si="2"/>
        <v>Starts in June, 2030</v>
      </c>
      <c r="J110" s="12" t="str">
        <f>IFERROR(__xludf.DUMMYFUNCTION("SPLIT(REGEXREPLACE(F110, ""(.{1,76})(?:\s+|$)"", ""$1"" &amp; ""¶""), ""¶"")"),"Work with partners to explore creating an endowment that will allow all")</f>
        <v>Work with partners to explore creating an endowment that will allow all</v>
      </c>
      <c r="K110" s="4" t="str">
        <f>IFERROR(__xludf.DUMMYFUNCTION("""COMPUTED_VALUE"""),"public high school graduates, regardless of income, to attend at least two")</f>
        <v>public high school graduates, regardless of income, to attend at least two</v>
      </c>
      <c r="L110" s="4" t="str">
        <f>IFERROR(__xludf.DUMMYFUNCTION("""COMPUTED_VALUE"""),"years of postsecondary education completely tuition-free inclusive of")</f>
        <v>years of postsecondary education completely tuition-free inclusive of</v>
      </c>
      <c r="M110" s="4" t="str">
        <f>IFERROR(__xludf.DUMMYFUNCTION("""COMPUTED_VALUE"""),"federal and state financial aid.")</f>
        <v>federal and state financial aid.</v>
      </c>
    </row>
    <row r="111" ht="14.25" customHeight="1">
      <c r="E111" s="22"/>
      <c r="G111" s="4"/>
    </row>
    <row r="112" ht="14.25" customHeight="1">
      <c r="E112" s="22"/>
      <c r="G112" s="4"/>
    </row>
    <row r="113" ht="14.25" customHeight="1">
      <c r="E113" s="22"/>
      <c r="G113" s="4"/>
    </row>
    <row r="114" ht="14.25" customHeight="1">
      <c r="E114" s="22"/>
      <c r="G114" s="4"/>
    </row>
    <row r="115" ht="14.25" customHeight="1">
      <c r="E115" s="22"/>
      <c r="G115" s="4"/>
    </row>
    <row r="116" ht="14.25" customHeight="1">
      <c r="E116" s="22"/>
      <c r="G116" s="4"/>
    </row>
    <row r="117" ht="14.25" customHeight="1">
      <c r="E117" s="22"/>
      <c r="G117" s="4"/>
    </row>
    <row r="118" ht="14.25" customHeight="1">
      <c r="E118" s="22"/>
      <c r="G118" s="4"/>
    </row>
    <row r="119" ht="14.25" customHeight="1">
      <c r="E119" s="22"/>
      <c r="G119" s="4"/>
    </row>
    <row r="120" ht="14.25" customHeight="1">
      <c r="E120" s="22"/>
      <c r="G120" s="4"/>
    </row>
    <row r="121" ht="14.25" customHeight="1">
      <c r="E121" s="22"/>
      <c r="G121" s="4"/>
    </row>
    <row r="122" ht="14.25" customHeight="1">
      <c r="E122" s="22"/>
      <c r="G122" s="4"/>
    </row>
    <row r="123" ht="14.25" customHeight="1">
      <c r="E123" s="22"/>
      <c r="G123" s="4"/>
    </row>
    <row r="124" ht="14.25" customHeight="1">
      <c r="E124" s="22"/>
      <c r="G124" s="4"/>
    </row>
    <row r="125" ht="14.25" customHeight="1">
      <c r="E125" s="22"/>
      <c r="G125" s="4"/>
    </row>
    <row r="126" ht="14.25" customHeight="1">
      <c r="E126" s="22"/>
      <c r="G126" s="4"/>
    </row>
    <row r="127" ht="14.25" customHeight="1">
      <c r="E127" s="22"/>
      <c r="G127" s="4"/>
    </row>
    <row r="128" ht="14.25" customHeight="1">
      <c r="E128" s="22"/>
      <c r="G128" s="4"/>
    </row>
    <row r="129" ht="14.25" customHeight="1">
      <c r="E129" s="22"/>
      <c r="G129" s="4"/>
    </row>
    <row r="130" ht="14.25" customHeight="1">
      <c r="E130" s="22"/>
      <c r="G130" s="4"/>
    </row>
    <row r="131" ht="14.25" customHeight="1">
      <c r="E131" s="22"/>
      <c r="G131" s="4"/>
    </row>
    <row r="132" ht="14.25" customHeight="1">
      <c r="E132" s="22"/>
      <c r="G132" s="4"/>
    </row>
    <row r="133" ht="14.25" customHeight="1">
      <c r="E133" s="22"/>
      <c r="G133" s="4"/>
    </row>
    <row r="134" ht="14.25" customHeight="1">
      <c r="E134" s="22"/>
      <c r="G134" s="4"/>
    </row>
    <row r="135" ht="14.25" customHeight="1">
      <c r="E135" s="22"/>
      <c r="G135" s="4"/>
    </row>
    <row r="136" ht="14.25" customHeight="1">
      <c r="E136" s="22"/>
      <c r="G136" s="4"/>
    </row>
    <row r="137" ht="14.25" customHeight="1">
      <c r="E137" s="22"/>
      <c r="G137" s="4"/>
    </row>
    <row r="138" ht="14.25" customHeight="1">
      <c r="E138" s="22"/>
      <c r="G138" s="4"/>
    </row>
    <row r="139" ht="14.25" customHeight="1">
      <c r="E139" s="22"/>
      <c r="G139" s="4"/>
    </row>
    <row r="140" ht="14.25" customHeight="1">
      <c r="E140" s="22"/>
      <c r="G140" s="4"/>
    </row>
    <row r="141" ht="14.25" customHeight="1">
      <c r="E141" s="22"/>
      <c r="G141" s="4"/>
    </row>
    <row r="142" ht="14.25" customHeight="1">
      <c r="E142" s="22"/>
      <c r="G142" s="4"/>
    </row>
    <row r="143" ht="14.25" customHeight="1">
      <c r="E143" s="22"/>
      <c r="G143" s="4"/>
    </row>
    <row r="144" ht="14.25" customHeight="1">
      <c r="E144" s="22"/>
      <c r="G144" s="4"/>
    </row>
    <row r="145" ht="14.25" customHeight="1">
      <c r="E145" s="22"/>
      <c r="G145" s="4"/>
    </row>
    <row r="146" ht="14.25" customHeight="1">
      <c r="E146" s="22"/>
      <c r="G146" s="4"/>
    </row>
    <row r="147" ht="14.25" customHeight="1">
      <c r="E147" s="22"/>
      <c r="G147" s="4"/>
    </row>
    <row r="148" ht="14.25" customHeight="1">
      <c r="E148" s="22"/>
      <c r="G148" s="4"/>
    </row>
    <row r="149" ht="14.25" customHeight="1">
      <c r="E149" s="22"/>
      <c r="G149" s="4"/>
    </row>
    <row r="150" ht="14.25" customHeight="1">
      <c r="E150" s="22"/>
      <c r="G150" s="4"/>
    </row>
    <row r="151" ht="14.25" customHeight="1">
      <c r="E151" s="22"/>
      <c r="G151" s="4"/>
    </row>
    <row r="152" ht="14.25" customHeight="1">
      <c r="E152" s="22"/>
      <c r="G152" s="4"/>
    </row>
    <row r="153" ht="14.25" customHeight="1">
      <c r="E153" s="22"/>
      <c r="G153" s="4"/>
    </row>
    <row r="154" ht="14.25" customHeight="1">
      <c r="E154" s="22"/>
      <c r="G154" s="4"/>
    </row>
    <row r="155" ht="14.25" customHeight="1">
      <c r="E155" s="22"/>
      <c r="G155" s="4"/>
    </row>
    <row r="156" ht="14.25" customHeight="1">
      <c r="E156" s="22"/>
      <c r="G156" s="4"/>
    </row>
    <row r="157" ht="14.25" customHeight="1">
      <c r="E157" s="22"/>
      <c r="G157" s="4"/>
    </row>
    <row r="158" ht="14.25" customHeight="1">
      <c r="E158" s="22"/>
      <c r="G158" s="4"/>
    </row>
    <row r="159" ht="14.25" customHeight="1">
      <c r="E159" s="22"/>
      <c r="G159" s="4"/>
    </row>
    <row r="160" ht="14.25" customHeight="1">
      <c r="E160" s="22"/>
      <c r="G160" s="4"/>
    </row>
    <row r="161" ht="14.25" customHeight="1">
      <c r="E161" s="22"/>
      <c r="G161" s="4"/>
    </row>
    <row r="162" ht="14.25" customHeight="1">
      <c r="E162" s="22"/>
      <c r="G162" s="4"/>
    </row>
    <row r="163" ht="14.25" customHeight="1">
      <c r="E163" s="22"/>
      <c r="G163" s="4"/>
    </row>
    <row r="164" ht="14.25" customHeight="1">
      <c r="E164" s="22"/>
      <c r="G164" s="4"/>
    </row>
    <row r="165" ht="14.25" customHeight="1">
      <c r="E165" s="22"/>
      <c r="G165" s="4"/>
    </row>
    <row r="166" ht="14.25" customHeight="1">
      <c r="E166" s="22"/>
      <c r="G166" s="4"/>
    </row>
    <row r="167" ht="14.25" customHeight="1">
      <c r="E167" s="22"/>
      <c r="G167" s="4"/>
    </row>
    <row r="168" ht="14.25" customHeight="1">
      <c r="E168" s="22"/>
      <c r="G168" s="4"/>
    </row>
    <row r="169" ht="14.25" customHeight="1">
      <c r="E169" s="22"/>
      <c r="G169" s="4"/>
    </row>
    <row r="170" ht="14.25" customHeight="1">
      <c r="E170" s="22"/>
      <c r="G170" s="4"/>
    </row>
    <row r="171" ht="14.25" customHeight="1">
      <c r="E171" s="22"/>
      <c r="G171" s="4"/>
    </row>
    <row r="172" ht="14.25" customHeight="1">
      <c r="E172" s="22"/>
      <c r="G172" s="4"/>
    </row>
    <row r="173" ht="14.25" customHeight="1">
      <c r="E173" s="22"/>
      <c r="G173" s="4"/>
    </row>
    <row r="174" ht="14.25" customHeight="1">
      <c r="E174" s="22"/>
      <c r="G174" s="4"/>
    </row>
    <row r="175" ht="14.25" customHeight="1">
      <c r="E175" s="22"/>
      <c r="G175" s="4"/>
    </row>
    <row r="176" ht="14.25" customHeight="1">
      <c r="E176" s="22"/>
      <c r="G176" s="4"/>
    </row>
    <row r="177" ht="14.25" customHeight="1">
      <c r="E177" s="22"/>
      <c r="G177" s="4"/>
    </row>
    <row r="178" ht="14.25" customHeight="1">
      <c r="E178" s="22"/>
      <c r="G178" s="4"/>
    </row>
    <row r="179" ht="14.25" customHeight="1">
      <c r="E179" s="22"/>
      <c r="G179" s="4"/>
    </row>
    <row r="180" ht="14.25" customHeight="1">
      <c r="E180" s="22"/>
      <c r="G180" s="4"/>
    </row>
    <row r="181" ht="14.25" customHeight="1">
      <c r="E181" s="22"/>
      <c r="G181" s="4"/>
    </row>
    <row r="182" ht="14.25" customHeight="1">
      <c r="E182" s="22"/>
      <c r="G182" s="4"/>
    </row>
    <row r="183" ht="14.25" customHeight="1">
      <c r="E183" s="22"/>
      <c r="G183" s="4"/>
    </row>
    <row r="184" ht="14.25" customHeight="1">
      <c r="E184" s="22"/>
      <c r="G184" s="4"/>
    </row>
    <row r="185" ht="14.25" customHeight="1">
      <c r="E185" s="22"/>
      <c r="G185" s="4"/>
    </row>
    <row r="186" ht="14.25" customHeight="1">
      <c r="E186" s="22"/>
      <c r="G186" s="4"/>
    </row>
    <row r="187" ht="14.25" customHeight="1">
      <c r="E187" s="22"/>
      <c r="G187" s="4"/>
    </row>
    <row r="188" ht="14.25" customHeight="1">
      <c r="E188" s="22"/>
      <c r="G188" s="4"/>
    </row>
    <row r="189" ht="14.25" customHeight="1">
      <c r="E189" s="22"/>
      <c r="G189" s="4"/>
    </row>
    <row r="190" ht="14.25" customHeight="1">
      <c r="E190" s="22"/>
      <c r="G190" s="4"/>
    </row>
    <row r="191" ht="14.25" customHeight="1">
      <c r="E191" s="22"/>
      <c r="G191" s="4"/>
    </row>
    <row r="192" ht="14.25" customHeight="1">
      <c r="E192" s="22"/>
      <c r="G192" s="4"/>
    </row>
    <row r="193" ht="14.25" customHeight="1">
      <c r="E193" s="22"/>
      <c r="G193" s="4"/>
    </row>
    <row r="194" ht="14.25" customHeight="1">
      <c r="E194" s="22"/>
      <c r="G194" s="4"/>
    </row>
    <row r="195" ht="14.25" customHeight="1">
      <c r="E195" s="22"/>
      <c r="G195" s="4"/>
    </row>
    <row r="196" ht="14.25" customHeight="1">
      <c r="E196" s="22"/>
      <c r="G196" s="4"/>
    </row>
    <row r="197" ht="14.25" customHeight="1">
      <c r="E197" s="22"/>
      <c r="G197" s="4"/>
    </row>
    <row r="198" ht="14.25" customHeight="1">
      <c r="E198" s="22"/>
      <c r="G198" s="4"/>
    </row>
    <row r="199" ht="14.25" customHeight="1">
      <c r="E199" s="22"/>
      <c r="G199" s="4"/>
    </row>
    <row r="200" ht="14.25" customHeight="1">
      <c r="E200" s="22"/>
      <c r="G200" s="4"/>
    </row>
    <row r="201" ht="14.25" customHeight="1">
      <c r="E201" s="22"/>
      <c r="G201" s="4"/>
    </row>
    <row r="202" ht="14.25" customHeight="1">
      <c r="E202" s="22"/>
      <c r="G202" s="4"/>
    </row>
    <row r="203" ht="14.25" customHeight="1">
      <c r="E203" s="22"/>
      <c r="G203" s="4"/>
    </row>
    <row r="204" ht="14.25" customHeight="1">
      <c r="E204" s="22"/>
      <c r="G204" s="4"/>
    </row>
    <row r="205" ht="14.25" customHeight="1">
      <c r="E205" s="22"/>
      <c r="G205" s="4"/>
    </row>
    <row r="206" ht="14.25" customHeight="1">
      <c r="E206" s="22"/>
      <c r="G206" s="4"/>
    </row>
    <row r="207" ht="14.25" customHeight="1">
      <c r="E207" s="22"/>
      <c r="G207" s="4"/>
    </row>
    <row r="208" ht="14.25" customHeight="1">
      <c r="E208" s="22"/>
      <c r="G208" s="4"/>
    </row>
    <row r="209" ht="14.25" customHeight="1">
      <c r="E209" s="22"/>
      <c r="G209" s="4"/>
    </row>
    <row r="210" ht="14.25" customHeight="1">
      <c r="E210" s="22"/>
      <c r="G210" s="4"/>
    </row>
    <row r="211" ht="14.25" customHeight="1">
      <c r="E211" s="22"/>
      <c r="G211" s="4"/>
    </row>
    <row r="212" ht="14.25" customHeight="1">
      <c r="E212" s="22"/>
      <c r="G212" s="4"/>
    </row>
    <row r="213" ht="14.25" customHeight="1">
      <c r="E213" s="22"/>
      <c r="G213" s="4"/>
    </row>
    <row r="214" ht="14.25" customHeight="1">
      <c r="E214" s="22"/>
      <c r="G214" s="4"/>
    </row>
    <row r="215" ht="14.25" customHeight="1">
      <c r="E215" s="22"/>
      <c r="G215" s="4"/>
    </row>
    <row r="216" ht="14.25" customHeight="1">
      <c r="E216" s="22"/>
      <c r="G216" s="4"/>
    </row>
    <row r="217" ht="14.25" customHeight="1">
      <c r="E217" s="22"/>
      <c r="G217" s="4"/>
    </row>
    <row r="218" ht="14.25" customHeight="1">
      <c r="E218" s="22"/>
      <c r="G218" s="4"/>
    </row>
    <row r="219" ht="14.25" customHeight="1">
      <c r="E219" s="22"/>
      <c r="G219" s="4"/>
    </row>
    <row r="220" ht="14.25" customHeight="1">
      <c r="E220" s="22"/>
      <c r="G220" s="4"/>
    </row>
    <row r="221" ht="14.25" customHeight="1">
      <c r="E221" s="22"/>
      <c r="G221" s="4"/>
    </row>
    <row r="222" ht="14.25" customHeight="1">
      <c r="E222" s="22"/>
      <c r="G222" s="4"/>
    </row>
    <row r="223" ht="14.25" customHeight="1">
      <c r="E223" s="22"/>
      <c r="G223" s="4"/>
    </row>
    <row r="224" ht="14.25" customHeight="1">
      <c r="E224" s="22"/>
      <c r="G224" s="4"/>
    </row>
    <row r="225" ht="14.25" customHeight="1">
      <c r="E225" s="22"/>
      <c r="G225" s="4"/>
    </row>
    <row r="226" ht="14.25" customHeight="1">
      <c r="E226" s="22"/>
      <c r="G226" s="4"/>
    </row>
    <row r="227" ht="14.25" customHeight="1">
      <c r="E227" s="22"/>
      <c r="G227" s="4"/>
    </row>
    <row r="228" ht="14.25" customHeight="1">
      <c r="E228" s="22"/>
      <c r="G228" s="4"/>
    </row>
    <row r="229" ht="14.25" customHeight="1">
      <c r="E229" s="22"/>
      <c r="G229" s="4"/>
    </row>
    <row r="230" ht="14.25" customHeight="1">
      <c r="E230" s="22"/>
      <c r="G230" s="4"/>
    </row>
    <row r="231" ht="14.25" customHeight="1">
      <c r="E231" s="22"/>
      <c r="G231" s="4"/>
    </row>
    <row r="232" ht="14.25" customHeight="1">
      <c r="E232" s="22"/>
      <c r="G232" s="4"/>
    </row>
    <row r="233" ht="14.25" customHeight="1">
      <c r="E233" s="22"/>
      <c r="G233" s="4"/>
    </row>
    <row r="234" ht="14.25" customHeight="1">
      <c r="E234" s="22"/>
      <c r="G234" s="4"/>
    </row>
    <row r="235" ht="14.25" customHeight="1">
      <c r="E235" s="22"/>
      <c r="G235" s="4"/>
    </row>
    <row r="236" ht="14.25" customHeight="1">
      <c r="E236" s="22"/>
      <c r="G236" s="4"/>
    </row>
    <row r="237" ht="14.25" customHeight="1">
      <c r="E237" s="22"/>
      <c r="G237" s="4"/>
    </row>
    <row r="238" ht="14.25" customHeight="1">
      <c r="E238" s="22"/>
      <c r="G238" s="4"/>
    </row>
    <row r="239" ht="14.25" customHeight="1">
      <c r="E239" s="22"/>
      <c r="G239" s="4"/>
    </row>
    <row r="240" ht="14.25" customHeight="1">
      <c r="E240" s="22"/>
      <c r="G240" s="4"/>
    </row>
    <row r="241" ht="14.25" customHeight="1">
      <c r="E241" s="22"/>
      <c r="G241" s="4"/>
    </row>
    <row r="242" ht="14.25" customHeight="1">
      <c r="E242" s="22"/>
      <c r="G242" s="4"/>
    </row>
    <row r="243" ht="14.25" customHeight="1">
      <c r="E243" s="22"/>
      <c r="G243" s="4"/>
    </row>
    <row r="244" ht="14.25" customHeight="1">
      <c r="E244" s="22"/>
      <c r="G244" s="4"/>
    </row>
    <row r="245" ht="14.25" customHeight="1">
      <c r="E245" s="22"/>
      <c r="G245" s="4"/>
    </row>
    <row r="246" ht="14.25" customHeight="1">
      <c r="E246" s="22"/>
      <c r="G246" s="4"/>
    </row>
    <row r="247" ht="14.25" customHeight="1">
      <c r="E247" s="22"/>
      <c r="G247" s="4"/>
    </row>
    <row r="248" ht="14.25" customHeight="1">
      <c r="E248" s="22"/>
      <c r="G248" s="4"/>
    </row>
    <row r="249" ht="14.25" customHeight="1">
      <c r="E249" s="22"/>
      <c r="G249" s="4"/>
    </row>
    <row r="250" ht="14.25" customHeight="1">
      <c r="E250" s="22"/>
      <c r="G250" s="4"/>
    </row>
    <row r="251" ht="14.25" customHeight="1">
      <c r="E251" s="22"/>
      <c r="G251" s="4"/>
    </row>
    <row r="252" ht="14.25" customHeight="1">
      <c r="E252" s="22"/>
      <c r="G252" s="4"/>
    </row>
    <row r="253" ht="14.25" customHeight="1">
      <c r="E253" s="22"/>
      <c r="G253" s="4"/>
    </row>
    <row r="254" ht="14.25" customHeight="1">
      <c r="E254" s="22"/>
      <c r="G254" s="4"/>
    </row>
    <row r="255" ht="14.25" customHeight="1">
      <c r="E255" s="22"/>
      <c r="G255" s="4"/>
    </row>
    <row r="256" ht="14.25" customHeight="1">
      <c r="E256" s="22"/>
      <c r="G256" s="4"/>
    </row>
    <row r="257" ht="14.25" customHeight="1">
      <c r="E257" s="22"/>
      <c r="G257" s="4"/>
    </row>
    <row r="258" ht="14.25" customHeight="1">
      <c r="E258" s="22"/>
      <c r="G258" s="4"/>
    </row>
    <row r="259" ht="14.25" customHeight="1">
      <c r="E259" s="22"/>
      <c r="G259" s="4"/>
    </row>
    <row r="260" ht="14.25" customHeight="1">
      <c r="E260" s="22"/>
      <c r="G260" s="4"/>
    </row>
    <row r="261" ht="14.25" customHeight="1">
      <c r="E261" s="22"/>
      <c r="G261" s="4"/>
    </row>
    <row r="262" ht="14.25" customHeight="1">
      <c r="E262" s="22"/>
      <c r="G262" s="4"/>
    </row>
    <row r="263" ht="14.25" customHeight="1">
      <c r="E263" s="22"/>
      <c r="G263" s="4"/>
    </row>
    <row r="264" ht="14.25" customHeight="1">
      <c r="E264" s="22"/>
      <c r="G264" s="4"/>
    </row>
    <row r="265" ht="14.25" customHeight="1">
      <c r="E265" s="22"/>
      <c r="G265" s="4"/>
    </row>
    <row r="266" ht="14.25" customHeight="1">
      <c r="E266" s="22"/>
      <c r="G266" s="4"/>
    </row>
    <row r="267" ht="14.25" customHeight="1">
      <c r="E267" s="22"/>
      <c r="G267" s="4"/>
    </row>
    <row r="268" ht="14.25" customHeight="1">
      <c r="E268" s="22"/>
      <c r="G268" s="4"/>
    </row>
    <row r="269" ht="14.25" customHeight="1">
      <c r="E269" s="22"/>
      <c r="G269" s="4"/>
    </row>
    <row r="270" ht="14.25" customHeight="1">
      <c r="E270" s="22"/>
      <c r="G270" s="4"/>
    </row>
    <row r="271" ht="14.25" customHeight="1">
      <c r="E271" s="22"/>
      <c r="G271" s="4"/>
    </row>
    <row r="272" ht="14.25" customHeight="1">
      <c r="E272" s="22"/>
      <c r="G272" s="4"/>
    </row>
    <row r="273" ht="14.25" customHeight="1">
      <c r="E273" s="22"/>
      <c r="G273" s="4"/>
    </row>
    <row r="274" ht="14.25" customHeight="1">
      <c r="E274" s="22"/>
      <c r="G274" s="4"/>
    </row>
    <row r="275" ht="14.25" customHeight="1">
      <c r="E275" s="22"/>
      <c r="G275" s="4"/>
    </row>
    <row r="276" ht="14.25" customHeight="1">
      <c r="E276" s="22"/>
      <c r="G276" s="4"/>
    </row>
    <row r="277" ht="14.25" customHeight="1">
      <c r="E277" s="22"/>
      <c r="G277" s="4"/>
    </row>
    <row r="278" ht="14.25" customHeight="1">
      <c r="E278" s="22"/>
      <c r="G278" s="4"/>
    </row>
    <row r="279" ht="14.25" customHeight="1">
      <c r="E279" s="22"/>
      <c r="G279" s="4"/>
    </row>
    <row r="280" ht="14.25" customHeight="1">
      <c r="E280" s="22"/>
      <c r="G280" s="4"/>
    </row>
    <row r="281" ht="14.25" customHeight="1">
      <c r="E281" s="22"/>
      <c r="G281" s="4"/>
    </row>
    <row r="282" ht="14.25" customHeight="1">
      <c r="E282" s="22"/>
      <c r="G282" s="4"/>
    </row>
    <row r="283" ht="14.25" customHeight="1">
      <c r="E283" s="22"/>
      <c r="G283" s="4"/>
    </row>
    <row r="284" ht="14.25" customHeight="1">
      <c r="E284" s="22"/>
      <c r="G284" s="4"/>
    </row>
    <row r="285" ht="14.25" customHeight="1">
      <c r="E285" s="22"/>
      <c r="G285" s="4"/>
    </row>
    <row r="286" ht="14.25" customHeight="1">
      <c r="E286" s="22"/>
      <c r="G286" s="4"/>
    </row>
    <row r="287" ht="14.25" customHeight="1">
      <c r="E287" s="22"/>
      <c r="G287" s="4"/>
    </row>
    <row r="288" ht="14.25" customHeight="1">
      <c r="E288" s="22"/>
      <c r="G288" s="4"/>
    </row>
    <row r="289" ht="14.25" customHeight="1">
      <c r="E289" s="22"/>
      <c r="G289" s="4"/>
    </row>
    <row r="290" ht="14.25" customHeight="1">
      <c r="E290" s="22"/>
      <c r="G290" s="4"/>
    </row>
    <row r="291" ht="14.25" customHeight="1">
      <c r="E291" s="22"/>
      <c r="G291" s="4"/>
    </row>
    <row r="292" ht="14.25" customHeight="1">
      <c r="E292" s="22"/>
      <c r="G292" s="4"/>
    </row>
    <row r="293" ht="14.25" customHeight="1">
      <c r="E293" s="22"/>
      <c r="G293" s="4"/>
    </row>
    <row r="294" ht="14.25" customHeight="1">
      <c r="E294" s="22"/>
      <c r="G294" s="4"/>
    </row>
    <row r="295" ht="14.25" customHeight="1">
      <c r="E295" s="22"/>
      <c r="G295" s="4"/>
    </row>
    <row r="296" ht="14.25" customHeight="1">
      <c r="E296" s="22"/>
      <c r="G296" s="4"/>
    </row>
    <row r="297" ht="14.25" customHeight="1">
      <c r="E297" s="22"/>
      <c r="G297" s="4"/>
    </row>
    <row r="298" ht="14.25" customHeight="1">
      <c r="E298" s="22"/>
      <c r="G298" s="4"/>
    </row>
    <row r="299" ht="14.25" customHeight="1">
      <c r="E299" s="22"/>
      <c r="G299" s="4"/>
    </row>
    <row r="300" ht="14.25" customHeight="1">
      <c r="E300" s="22"/>
      <c r="G300" s="4"/>
    </row>
    <row r="301" ht="14.25" customHeight="1">
      <c r="E301" s="22"/>
      <c r="G301" s="4"/>
    </row>
    <row r="302" ht="14.25" customHeight="1">
      <c r="E302" s="22"/>
      <c r="G302" s="4"/>
    </row>
    <row r="303" ht="14.25" customHeight="1">
      <c r="E303" s="22"/>
      <c r="G303" s="4"/>
    </row>
    <row r="304" ht="14.25" customHeight="1">
      <c r="E304" s="22"/>
      <c r="G304" s="4"/>
    </row>
    <row r="305" ht="14.25" customHeight="1">
      <c r="E305" s="22"/>
      <c r="G305" s="4"/>
    </row>
    <row r="306" ht="14.25" customHeight="1">
      <c r="E306" s="22"/>
      <c r="G306" s="4"/>
    </row>
    <row r="307" ht="14.25" customHeight="1">
      <c r="E307" s="22"/>
      <c r="G307" s="4"/>
    </row>
    <row r="308" ht="14.25" customHeight="1">
      <c r="E308" s="22"/>
      <c r="G308" s="4"/>
    </row>
    <row r="309" ht="14.25" customHeight="1">
      <c r="E309" s="22"/>
      <c r="G309" s="4"/>
    </row>
    <row r="310" ht="14.25" customHeight="1">
      <c r="E310" s="22"/>
      <c r="G310" s="4"/>
    </row>
    <row r="311" ht="14.25" customHeight="1">
      <c r="E311" s="22"/>
      <c r="G311" s="4"/>
    </row>
    <row r="312" ht="14.25" customHeight="1">
      <c r="E312" s="22"/>
      <c r="G312" s="4"/>
    </row>
    <row r="313" ht="14.25" customHeight="1">
      <c r="E313" s="22"/>
      <c r="G313" s="4"/>
    </row>
    <row r="314" ht="14.25" customHeight="1">
      <c r="E314" s="22"/>
      <c r="G314" s="4"/>
    </row>
    <row r="315" ht="14.25" customHeight="1">
      <c r="E315" s="22"/>
      <c r="G315" s="4"/>
    </row>
    <row r="316" ht="14.25" customHeight="1">
      <c r="E316" s="22"/>
      <c r="G316" s="4"/>
    </row>
    <row r="317" ht="14.25" customHeight="1">
      <c r="E317" s="22"/>
      <c r="G317" s="4"/>
    </row>
    <row r="318" ht="14.25" customHeight="1">
      <c r="E318" s="22"/>
      <c r="G318" s="4"/>
    </row>
    <row r="319" ht="14.25" customHeight="1">
      <c r="E319" s="22"/>
      <c r="G319" s="4"/>
    </row>
    <row r="320" ht="14.25" customHeight="1">
      <c r="E320" s="22"/>
      <c r="G320" s="4"/>
    </row>
    <row r="321" ht="14.25" customHeight="1">
      <c r="E321" s="22"/>
      <c r="G321" s="4"/>
    </row>
    <row r="322" ht="14.25" customHeight="1">
      <c r="E322" s="22"/>
      <c r="G322" s="4"/>
    </row>
    <row r="323" ht="14.25" customHeight="1">
      <c r="E323" s="22"/>
      <c r="G323" s="4"/>
    </row>
    <row r="324" ht="14.25" customHeight="1">
      <c r="E324" s="22"/>
      <c r="G324" s="4"/>
    </row>
    <row r="325" ht="14.25" customHeight="1">
      <c r="E325" s="22"/>
      <c r="G325" s="4"/>
    </row>
    <row r="326" ht="14.25" customHeight="1">
      <c r="E326" s="22"/>
      <c r="G326" s="4"/>
    </row>
    <row r="327" ht="14.25" customHeight="1">
      <c r="E327" s="22"/>
      <c r="G327" s="4"/>
    </row>
    <row r="328" ht="14.25" customHeight="1">
      <c r="E328" s="22"/>
      <c r="G328" s="4"/>
    </row>
    <row r="329" ht="14.25" customHeight="1">
      <c r="E329" s="22"/>
      <c r="G329" s="4"/>
    </row>
    <row r="330" ht="14.25" customHeight="1">
      <c r="E330" s="22"/>
      <c r="G330" s="4"/>
    </row>
    <row r="331" ht="14.25" customHeight="1">
      <c r="E331" s="22"/>
      <c r="G331" s="4"/>
    </row>
    <row r="332" ht="14.25" customHeight="1">
      <c r="E332" s="22"/>
      <c r="G332" s="4"/>
    </row>
    <row r="333" ht="14.25" customHeight="1">
      <c r="E333" s="22"/>
      <c r="G333" s="4"/>
    </row>
    <row r="334" ht="14.25" customHeight="1">
      <c r="E334" s="22"/>
      <c r="G334" s="4"/>
    </row>
    <row r="335" ht="14.25" customHeight="1">
      <c r="E335" s="22"/>
      <c r="G335" s="4"/>
    </row>
    <row r="336" ht="14.25" customHeight="1">
      <c r="E336" s="22"/>
      <c r="G336" s="4"/>
    </row>
    <row r="337" ht="14.25" customHeight="1">
      <c r="E337" s="22"/>
      <c r="G337" s="4"/>
    </row>
    <row r="338" ht="14.25" customHeight="1">
      <c r="E338" s="22"/>
      <c r="G338" s="4"/>
    </row>
    <row r="339" ht="14.25" customHeight="1">
      <c r="E339" s="22"/>
      <c r="G339" s="4"/>
    </row>
    <row r="340" ht="14.25" customHeight="1">
      <c r="E340" s="22"/>
      <c r="G340" s="4"/>
    </row>
    <row r="341" ht="14.25" customHeight="1">
      <c r="E341" s="22"/>
      <c r="G341" s="4"/>
    </row>
    <row r="342" ht="14.25" customHeight="1">
      <c r="E342" s="22"/>
      <c r="G342" s="4"/>
    </row>
    <row r="343" ht="14.25" customHeight="1">
      <c r="E343" s="22"/>
      <c r="G343" s="4"/>
    </row>
    <row r="344" ht="14.25" customHeight="1">
      <c r="E344" s="22"/>
      <c r="G344" s="4"/>
    </row>
    <row r="345" ht="14.25" customHeight="1">
      <c r="E345" s="22"/>
      <c r="G345" s="4"/>
    </row>
    <row r="346" ht="14.25" customHeight="1">
      <c r="E346" s="22"/>
      <c r="G346" s="4"/>
    </row>
    <row r="347" ht="14.25" customHeight="1">
      <c r="E347" s="22"/>
      <c r="G347" s="4"/>
    </row>
    <row r="348" ht="14.25" customHeight="1">
      <c r="E348" s="22"/>
      <c r="G348" s="4"/>
    </row>
    <row r="349" ht="14.25" customHeight="1">
      <c r="E349" s="22"/>
      <c r="G349" s="4"/>
    </row>
    <row r="350" ht="14.25" customHeight="1">
      <c r="E350" s="22"/>
      <c r="G350" s="4"/>
    </row>
    <row r="351" ht="14.25" customHeight="1">
      <c r="E351" s="22"/>
      <c r="G351" s="4"/>
    </row>
    <row r="352" ht="14.25" customHeight="1">
      <c r="E352" s="22"/>
      <c r="G352" s="4"/>
    </row>
    <row r="353" ht="14.25" customHeight="1">
      <c r="E353" s="22"/>
      <c r="G353" s="4"/>
    </row>
    <row r="354" ht="14.25" customHeight="1">
      <c r="E354" s="22"/>
      <c r="G354" s="4"/>
    </row>
    <row r="355" ht="14.25" customHeight="1">
      <c r="E355" s="22"/>
      <c r="G355" s="4"/>
    </row>
    <row r="356" ht="14.25" customHeight="1">
      <c r="E356" s="22"/>
      <c r="G356" s="4"/>
    </row>
    <row r="357" ht="14.25" customHeight="1">
      <c r="E357" s="22"/>
      <c r="G357" s="4"/>
    </row>
    <row r="358" ht="14.25" customHeight="1">
      <c r="E358" s="22"/>
      <c r="G358" s="4"/>
    </row>
    <row r="359" ht="14.25" customHeight="1">
      <c r="E359" s="22"/>
      <c r="G359" s="4"/>
    </row>
    <row r="360" ht="14.25" customHeight="1">
      <c r="E360" s="22"/>
      <c r="G360" s="4"/>
    </row>
    <row r="361" ht="14.25" customHeight="1">
      <c r="E361" s="22"/>
      <c r="G361" s="4"/>
    </row>
    <row r="362" ht="14.25" customHeight="1">
      <c r="E362" s="22"/>
      <c r="G362" s="4"/>
    </row>
    <row r="363" ht="14.25" customHeight="1">
      <c r="E363" s="22"/>
      <c r="G363" s="4"/>
    </row>
    <row r="364" ht="14.25" customHeight="1">
      <c r="E364" s="22"/>
      <c r="G364" s="4"/>
    </row>
    <row r="365" ht="14.25" customHeight="1">
      <c r="E365" s="22"/>
      <c r="G365" s="4"/>
    </row>
    <row r="366" ht="14.25" customHeight="1">
      <c r="E366" s="22"/>
      <c r="G366" s="4"/>
    </row>
    <row r="367" ht="14.25" customHeight="1">
      <c r="E367" s="22"/>
      <c r="G367" s="4"/>
    </row>
    <row r="368" ht="14.25" customHeight="1">
      <c r="E368" s="22"/>
      <c r="G368" s="4"/>
    </row>
    <row r="369" ht="14.25" customHeight="1">
      <c r="E369" s="22"/>
      <c r="G369" s="4"/>
    </row>
    <row r="370" ht="14.25" customHeight="1">
      <c r="E370" s="22"/>
      <c r="G370" s="4"/>
    </row>
    <row r="371" ht="14.25" customHeight="1">
      <c r="E371" s="22"/>
      <c r="G371" s="4"/>
    </row>
    <row r="372" ht="14.25" customHeight="1">
      <c r="E372" s="22"/>
      <c r="G372" s="4"/>
    </row>
    <row r="373" ht="14.25" customHeight="1">
      <c r="E373" s="22"/>
      <c r="G373" s="4"/>
    </row>
    <row r="374" ht="14.25" customHeight="1">
      <c r="E374" s="22"/>
      <c r="G374" s="4"/>
    </row>
    <row r="375" ht="14.25" customHeight="1">
      <c r="E375" s="22"/>
      <c r="G375" s="4"/>
    </row>
    <row r="376" ht="14.25" customHeight="1">
      <c r="E376" s="22"/>
      <c r="G376" s="4"/>
    </row>
    <row r="377" ht="14.25" customHeight="1">
      <c r="E377" s="22"/>
      <c r="G377" s="4"/>
    </row>
    <row r="378" ht="14.25" customHeight="1">
      <c r="E378" s="22"/>
      <c r="G378" s="4"/>
    </row>
    <row r="379" ht="14.25" customHeight="1">
      <c r="E379" s="22"/>
      <c r="G379" s="4"/>
    </row>
    <row r="380" ht="14.25" customHeight="1">
      <c r="E380" s="22"/>
      <c r="G380" s="4"/>
    </row>
    <row r="381" ht="14.25" customHeight="1">
      <c r="E381" s="22"/>
      <c r="G381" s="4"/>
    </row>
    <row r="382" ht="14.25" customHeight="1">
      <c r="E382" s="22"/>
      <c r="G382" s="4"/>
    </row>
    <row r="383" ht="14.25" customHeight="1">
      <c r="E383" s="22"/>
      <c r="G383" s="4"/>
    </row>
    <row r="384" ht="14.25" customHeight="1">
      <c r="E384" s="22"/>
      <c r="G384" s="4"/>
    </row>
    <row r="385" ht="14.25" customHeight="1">
      <c r="E385" s="22"/>
      <c r="G385" s="4"/>
    </row>
    <row r="386" ht="14.25" customHeight="1">
      <c r="E386" s="22"/>
      <c r="G386" s="4"/>
    </row>
    <row r="387" ht="14.25" customHeight="1">
      <c r="E387" s="22"/>
      <c r="G387" s="4"/>
    </row>
    <row r="388" ht="14.25" customHeight="1">
      <c r="E388" s="22"/>
      <c r="G388" s="4"/>
    </row>
    <row r="389" ht="14.25" customHeight="1">
      <c r="E389" s="22"/>
      <c r="G389" s="4"/>
    </row>
    <row r="390" ht="14.25" customHeight="1">
      <c r="E390" s="22"/>
      <c r="G390" s="4"/>
    </row>
    <row r="391" ht="14.25" customHeight="1">
      <c r="E391" s="22"/>
      <c r="G391" s="4"/>
    </row>
    <row r="392" ht="14.25" customHeight="1">
      <c r="E392" s="22"/>
      <c r="G392" s="4"/>
    </row>
    <row r="393" ht="14.25" customHeight="1">
      <c r="E393" s="22"/>
      <c r="G393" s="4"/>
    </row>
    <row r="394" ht="14.25" customHeight="1">
      <c r="E394" s="22"/>
      <c r="G394" s="4"/>
    </row>
    <row r="395" ht="14.25" customHeight="1">
      <c r="E395" s="22"/>
      <c r="G395" s="4"/>
    </row>
    <row r="396" ht="14.25" customHeight="1">
      <c r="E396" s="22"/>
      <c r="G396" s="4"/>
    </row>
    <row r="397" ht="14.25" customHeight="1">
      <c r="E397" s="22"/>
      <c r="G397" s="4"/>
    </row>
    <row r="398" ht="14.25" customHeight="1">
      <c r="E398" s="22"/>
      <c r="G398" s="4"/>
    </row>
    <row r="399" ht="14.25" customHeight="1">
      <c r="E399" s="22"/>
      <c r="G399" s="4"/>
    </row>
    <row r="400" ht="14.25" customHeight="1">
      <c r="E400" s="22"/>
      <c r="G400" s="4"/>
    </row>
    <row r="401" ht="14.25" customHeight="1">
      <c r="E401" s="22"/>
      <c r="G401" s="4"/>
    </row>
    <row r="402" ht="14.25" customHeight="1">
      <c r="E402" s="22"/>
      <c r="G402" s="4"/>
    </row>
    <row r="403" ht="14.25" customHeight="1">
      <c r="E403" s="22"/>
      <c r="G403" s="4"/>
    </row>
    <row r="404" ht="14.25" customHeight="1">
      <c r="E404" s="22"/>
      <c r="G404" s="4"/>
    </row>
    <row r="405" ht="14.25" customHeight="1">
      <c r="E405" s="22"/>
      <c r="G405" s="4"/>
    </row>
    <row r="406" ht="14.25" customHeight="1">
      <c r="E406" s="22"/>
      <c r="G406" s="4"/>
    </row>
    <row r="407" ht="14.25" customHeight="1">
      <c r="E407" s="22"/>
      <c r="G407" s="4"/>
    </row>
    <row r="408" ht="14.25" customHeight="1">
      <c r="E408" s="22"/>
      <c r="G408" s="4"/>
    </row>
    <row r="409" ht="14.25" customHeight="1">
      <c r="E409" s="22"/>
      <c r="G409" s="4"/>
    </row>
    <row r="410" ht="14.25" customHeight="1">
      <c r="E410" s="22"/>
      <c r="G410" s="4"/>
    </row>
    <row r="411" ht="14.25" customHeight="1">
      <c r="E411" s="22"/>
      <c r="G411" s="4"/>
    </row>
    <row r="412" ht="14.25" customHeight="1">
      <c r="E412" s="22"/>
      <c r="G412" s="4"/>
    </row>
    <row r="413" ht="14.25" customHeight="1">
      <c r="E413" s="22"/>
      <c r="G413" s="4"/>
    </row>
    <row r="414" ht="14.25" customHeight="1">
      <c r="E414" s="22"/>
      <c r="G414" s="4"/>
    </row>
    <row r="415" ht="14.25" customHeight="1">
      <c r="E415" s="22"/>
      <c r="G415" s="4"/>
    </row>
    <row r="416" ht="14.25" customHeight="1">
      <c r="E416" s="22"/>
      <c r="G416" s="4"/>
    </row>
    <row r="417" ht="14.25" customHeight="1">
      <c r="E417" s="22"/>
      <c r="G417" s="4"/>
    </row>
    <row r="418" ht="14.25" customHeight="1">
      <c r="E418" s="22"/>
      <c r="G418" s="4"/>
    </row>
    <row r="419" ht="14.25" customHeight="1">
      <c r="E419" s="22"/>
      <c r="G419" s="4"/>
    </row>
    <row r="420" ht="14.25" customHeight="1">
      <c r="E420" s="22"/>
      <c r="G420" s="4"/>
    </row>
    <row r="421" ht="14.25" customHeight="1">
      <c r="E421" s="22"/>
      <c r="G421" s="4"/>
    </row>
    <row r="422" ht="14.25" customHeight="1">
      <c r="E422" s="22"/>
      <c r="G422" s="4"/>
    </row>
    <row r="423" ht="14.25" customHeight="1">
      <c r="E423" s="22"/>
      <c r="G423" s="4"/>
    </row>
    <row r="424" ht="14.25" customHeight="1">
      <c r="E424" s="22"/>
      <c r="G424" s="4"/>
    </row>
    <row r="425" ht="14.25" customHeight="1">
      <c r="E425" s="22"/>
      <c r="G425" s="4"/>
    </row>
    <row r="426" ht="14.25" customHeight="1">
      <c r="E426" s="22"/>
      <c r="G426" s="4"/>
    </row>
    <row r="427" ht="14.25" customHeight="1">
      <c r="E427" s="22"/>
      <c r="G427" s="4"/>
    </row>
    <row r="428" ht="14.25" customHeight="1">
      <c r="E428" s="22"/>
      <c r="G428" s="4"/>
    </row>
    <row r="429" ht="14.25" customHeight="1">
      <c r="E429" s="22"/>
      <c r="G429" s="4"/>
    </row>
    <row r="430" ht="14.25" customHeight="1">
      <c r="E430" s="22"/>
      <c r="G430" s="4"/>
    </row>
    <row r="431" ht="14.25" customHeight="1">
      <c r="E431" s="22"/>
      <c r="G431" s="4"/>
    </row>
    <row r="432" ht="14.25" customHeight="1">
      <c r="E432" s="22"/>
      <c r="G432" s="4"/>
    </row>
    <row r="433" ht="14.25" customHeight="1">
      <c r="E433" s="22"/>
      <c r="G433" s="4"/>
    </row>
    <row r="434" ht="14.25" customHeight="1">
      <c r="E434" s="22"/>
      <c r="G434" s="4"/>
    </row>
    <row r="435" ht="14.25" customHeight="1">
      <c r="E435" s="22"/>
      <c r="G435" s="4"/>
    </row>
    <row r="436" ht="14.25" customHeight="1">
      <c r="E436" s="22"/>
      <c r="G436" s="4"/>
    </row>
    <row r="437" ht="14.25" customHeight="1">
      <c r="E437" s="22"/>
      <c r="G437" s="4"/>
    </row>
    <row r="438" ht="14.25" customHeight="1">
      <c r="E438" s="22"/>
      <c r="G438" s="4"/>
    </row>
    <row r="439" ht="14.25" customHeight="1">
      <c r="E439" s="22"/>
      <c r="G439" s="4"/>
    </row>
    <row r="440" ht="14.25" customHeight="1">
      <c r="E440" s="22"/>
      <c r="G440" s="4"/>
    </row>
    <row r="441" ht="14.25" customHeight="1">
      <c r="E441" s="22"/>
      <c r="G441" s="4"/>
    </row>
    <row r="442" ht="14.25" customHeight="1">
      <c r="E442" s="22"/>
      <c r="G442" s="4"/>
    </row>
    <row r="443" ht="14.25" customHeight="1">
      <c r="E443" s="22"/>
      <c r="G443" s="4"/>
    </row>
    <row r="444" ht="14.25" customHeight="1">
      <c r="E444" s="22"/>
      <c r="G444" s="4"/>
    </row>
    <row r="445" ht="14.25" customHeight="1">
      <c r="E445" s="22"/>
      <c r="G445" s="4"/>
    </row>
    <row r="446" ht="14.25" customHeight="1">
      <c r="E446" s="22"/>
      <c r="G446" s="4"/>
    </row>
    <row r="447" ht="14.25" customHeight="1">
      <c r="E447" s="22"/>
      <c r="G447" s="4"/>
    </row>
    <row r="448" ht="14.25" customHeight="1">
      <c r="E448" s="22"/>
      <c r="G448" s="4"/>
    </row>
    <row r="449" ht="14.25" customHeight="1">
      <c r="E449" s="22"/>
      <c r="G449" s="4"/>
    </row>
    <row r="450" ht="14.25" customHeight="1">
      <c r="E450" s="22"/>
      <c r="G450" s="4"/>
    </row>
    <row r="451" ht="14.25" customHeight="1">
      <c r="E451" s="22"/>
      <c r="G451" s="4"/>
    </row>
    <row r="452" ht="14.25" customHeight="1">
      <c r="E452" s="22"/>
      <c r="G452" s="4"/>
    </row>
    <row r="453" ht="14.25" customHeight="1">
      <c r="E453" s="22"/>
      <c r="G453" s="4"/>
    </row>
    <row r="454" ht="14.25" customHeight="1">
      <c r="E454" s="22"/>
      <c r="G454" s="4"/>
    </row>
    <row r="455" ht="14.25" customHeight="1">
      <c r="E455" s="22"/>
      <c r="G455" s="4"/>
    </row>
    <row r="456" ht="14.25" customHeight="1">
      <c r="E456" s="22"/>
      <c r="G456" s="4"/>
    </row>
    <row r="457" ht="14.25" customHeight="1">
      <c r="E457" s="22"/>
      <c r="G457" s="4"/>
    </row>
    <row r="458" ht="14.25" customHeight="1">
      <c r="E458" s="22"/>
      <c r="G458" s="4"/>
    </row>
    <row r="459" ht="14.25" customHeight="1">
      <c r="E459" s="22"/>
      <c r="G459" s="4"/>
    </row>
    <row r="460" ht="14.25" customHeight="1">
      <c r="E460" s="22"/>
      <c r="G460" s="4"/>
    </row>
    <row r="461" ht="14.25" customHeight="1">
      <c r="E461" s="22"/>
      <c r="G461" s="4"/>
    </row>
    <row r="462" ht="14.25" customHeight="1">
      <c r="E462" s="22"/>
      <c r="G462" s="4"/>
    </row>
    <row r="463" ht="14.25" customHeight="1">
      <c r="E463" s="22"/>
      <c r="G463" s="4"/>
    </row>
    <row r="464" ht="14.25" customHeight="1">
      <c r="E464" s="22"/>
      <c r="G464" s="4"/>
    </row>
    <row r="465" ht="14.25" customHeight="1">
      <c r="E465" s="22"/>
      <c r="G465" s="4"/>
    </row>
    <row r="466" ht="14.25" customHeight="1">
      <c r="E466" s="22"/>
      <c r="G466" s="4"/>
    </row>
    <row r="467" ht="14.25" customHeight="1">
      <c r="E467" s="22"/>
      <c r="G467" s="4"/>
    </row>
    <row r="468" ht="14.25" customHeight="1">
      <c r="E468" s="22"/>
      <c r="G468" s="4"/>
    </row>
    <row r="469" ht="14.25" customHeight="1">
      <c r="E469" s="22"/>
      <c r="G469" s="4"/>
    </row>
    <row r="470" ht="14.25" customHeight="1">
      <c r="E470" s="22"/>
      <c r="G470" s="4"/>
    </row>
    <row r="471" ht="14.25" customHeight="1">
      <c r="E471" s="22"/>
      <c r="G471" s="4"/>
    </row>
    <row r="472" ht="14.25" customHeight="1">
      <c r="E472" s="22"/>
      <c r="G472" s="4"/>
    </row>
    <row r="473" ht="14.25" customHeight="1">
      <c r="E473" s="22"/>
      <c r="G473" s="4"/>
    </row>
    <row r="474" ht="14.25" customHeight="1">
      <c r="E474" s="22"/>
      <c r="G474" s="4"/>
    </row>
    <row r="475" ht="14.25" customHeight="1">
      <c r="E475" s="22"/>
      <c r="G475" s="4"/>
    </row>
    <row r="476" ht="14.25" customHeight="1">
      <c r="E476" s="22"/>
      <c r="G476" s="4"/>
    </row>
    <row r="477" ht="14.25" customHeight="1">
      <c r="E477" s="22"/>
      <c r="G477" s="4"/>
    </row>
    <row r="478" ht="14.25" customHeight="1">
      <c r="E478" s="22"/>
      <c r="G478" s="4"/>
    </row>
    <row r="479" ht="14.25" customHeight="1">
      <c r="E479" s="22"/>
      <c r="G479" s="4"/>
    </row>
    <row r="480" ht="14.25" customHeight="1">
      <c r="E480" s="22"/>
      <c r="G480" s="4"/>
    </row>
    <row r="481" ht="14.25" customHeight="1">
      <c r="E481" s="22"/>
      <c r="G481" s="4"/>
    </row>
    <row r="482" ht="14.25" customHeight="1">
      <c r="E482" s="22"/>
      <c r="G482" s="4"/>
    </row>
    <row r="483" ht="14.25" customHeight="1">
      <c r="E483" s="22"/>
      <c r="G483" s="4"/>
    </row>
    <row r="484" ht="14.25" customHeight="1">
      <c r="E484" s="22"/>
      <c r="G484" s="4"/>
    </row>
    <row r="485" ht="14.25" customHeight="1">
      <c r="E485" s="22"/>
      <c r="G485" s="4"/>
    </row>
    <row r="486" ht="14.25" customHeight="1">
      <c r="E486" s="22"/>
      <c r="G486" s="4"/>
    </row>
    <row r="487" ht="14.25" customHeight="1">
      <c r="E487" s="22"/>
      <c r="G487" s="4"/>
    </row>
    <row r="488" ht="14.25" customHeight="1">
      <c r="E488" s="22"/>
      <c r="G488" s="4"/>
    </row>
    <row r="489" ht="14.25" customHeight="1">
      <c r="E489" s="22"/>
      <c r="G489" s="4"/>
    </row>
    <row r="490" ht="14.25" customHeight="1">
      <c r="E490" s="22"/>
      <c r="G490" s="4"/>
    </row>
    <row r="491" ht="14.25" customHeight="1">
      <c r="E491" s="22"/>
      <c r="G491" s="4"/>
    </row>
    <row r="492" ht="14.25" customHeight="1">
      <c r="E492" s="22"/>
      <c r="G492" s="4"/>
    </row>
    <row r="493" ht="14.25" customHeight="1">
      <c r="E493" s="22"/>
      <c r="G493" s="4"/>
    </row>
    <row r="494" ht="14.25" customHeight="1">
      <c r="E494" s="22"/>
      <c r="G494" s="4"/>
    </row>
    <row r="495" ht="14.25" customHeight="1">
      <c r="E495" s="22"/>
      <c r="G495" s="4"/>
    </row>
    <row r="496" ht="14.25" customHeight="1">
      <c r="E496" s="22"/>
      <c r="G496" s="4"/>
    </row>
    <row r="497" ht="14.25" customHeight="1">
      <c r="E497" s="22"/>
      <c r="G497" s="4"/>
    </row>
    <row r="498" ht="14.25" customHeight="1">
      <c r="E498" s="22"/>
      <c r="G498" s="4"/>
    </row>
    <row r="499" ht="14.25" customHeight="1">
      <c r="E499" s="22"/>
      <c r="G499" s="4"/>
    </row>
    <row r="500" ht="14.25" customHeight="1">
      <c r="E500" s="22"/>
      <c r="G500" s="4"/>
    </row>
    <row r="501" ht="14.25" customHeight="1">
      <c r="E501" s="22"/>
      <c r="G501" s="4"/>
    </row>
    <row r="502" ht="14.25" customHeight="1">
      <c r="E502" s="22"/>
      <c r="G502" s="4"/>
    </row>
    <row r="503" ht="14.25" customHeight="1">
      <c r="E503" s="22"/>
      <c r="G503" s="4"/>
    </row>
    <row r="504" ht="14.25" customHeight="1">
      <c r="E504" s="22"/>
      <c r="G504" s="4"/>
    </row>
    <row r="505" ht="14.25" customHeight="1">
      <c r="E505" s="22"/>
      <c r="G505" s="4"/>
    </row>
    <row r="506" ht="14.25" customHeight="1">
      <c r="E506" s="22"/>
      <c r="G506" s="4"/>
    </row>
    <row r="507" ht="14.25" customHeight="1">
      <c r="E507" s="22"/>
      <c r="G507" s="4"/>
    </row>
    <row r="508" ht="14.25" customHeight="1">
      <c r="E508" s="22"/>
      <c r="G508" s="4"/>
    </row>
    <row r="509" ht="14.25" customHeight="1">
      <c r="E509" s="22"/>
      <c r="G509" s="4"/>
    </row>
    <row r="510" ht="14.25" customHeight="1">
      <c r="E510" s="22"/>
      <c r="G510" s="4"/>
    </row>
    <row r="511" ht="14.25" customHeight="1">
      <c r="E511" s="22"/>
      <c r="G511" s="4"/>
    </row>
    <row r="512" ht="14.25" customHeight="1">
      <c r="E512" s="22"/>
      <c r="G512" s="4"/>
    </row>
    <row r="513" ht="14.25" customHeight="1">
      <c r="E513" s="22"/>
      <c r="G513" s="4"/>
    </row>
    <row r="514" ht="14.25" customHeight="1">
      <c r="E514" s="22"/>
      <c r="G514" s="4"/>
    </row>
    <row r="515" ht="14.25" customHeight="1">
      <c r="E515" s="22"/>
      <c r="G515" s="4"/>
    </row>
    <row r="516" ht="14.25" customHeight="1">
      <c r="E516" s="22"/>
      <c r="G516" s="4"/>
    </row>
    <row r="517" ht="14.25" customHeight="1">
      <c r="E517" s="22"/>
      <c r="G517" s="4"/>
    </row>
    <row r="518" ht="14.25" customHeight="1">
      <c r="E518" s="22"/>
      <c r="G518" s="4"/>
    </row>
    <row r="519" ht="14.25" customHeight="1">
      <c r="E519" s="22"/>
      <c r="G519" s="4"/>
    </row>
    <row r="520" ht="14.25" customHeight="1">
      <c r="E520" s="22"/>
      <c r="G520" s="4"/>
    </row>
    <row r="521" ht="14.25" customHeight="1">
      <c r="E521" s="22"/>
      <c r="G521" s="4"/>
    </row>
    <row r="522" ht="14.25" customHeight="1">
      <c r="E522" s="22"/>
      <c r="G522" s="4"/>
    </row>
    <row r="523" ht="14.25" customHeight="1">
      <c r="E523" s="22"/>
      <c r="G523" s="4"/>
    </row>
    <row r="524" ht="14.25" customHeight="1">
      <c r="E524" s="22"/>
      <c r="G524" s="4"/>
    </row>
    <row r="525" ht="14.25" customHeight="1">
      <c r="E525" s="22"/>
      <c r="G525" s="4"/>
    </row>
    <row r="526" ht="14.25" customHeight="1">
      <c r="E526" s="22"/>
      <c r="G526" s="4"/>
    </row>
    <row r="527" ht="14.25" customHeight="1">
      <c r="E527" s="22"/>
      <c r="G527" s="4"/>
    </row>
    <row r="528" ht="14.25" customHeight="1">
      <c r="E528" s="22"/>
      <c r="G528" s="4"/>
    </row>
    <row r="529" ht="14.25" customHeight="1">
      <c r="E529" s="22"/>
      <c r="G529" s="4"/>
    </row>
    <row r="530" ht="14.25" customHeight="1">
      <c r="E530" s="22"/>
      <c r="G530" s="4"/>
    </row>
    <row r="531" ht="14.25" customHeight="1">
      <c r="E531" s="22"/>
      <c r="G531" s="4"/>
    </row>
    <row r="532" ht="14.25" customHeight="1">
      <c r="E532" s="22"/>
      <c r="G532" s="4"/>
    </row>
    <row r="533" ht="14.25" customHeight="1">
      <c r="E533" s="22"/>
      <c r="G533" s="4"/>
    </row>
    <row r="534" ht="14.25" customHeight="1">
      <c r="E534" s="22"/>
      <c r="G534" s="4"/>
    </row>
    <row r="535" ht="14.25" customHeight="1">
      <c r="E535" s="22"/>
      <c r="G535" s="4"/>
    </row>
    <row r="536" ht="14.25" customHeight="1">
      <c r="E536" s="22"/>
      <c r="G536" s="4"/>
    </row>
    <row r="537" ht="14.25" customHeight="1">
      <c r="E537" s="22"/>
      <c r="G537" s="4"/>
    </row>
    <row r="538" ht="14.25" customHeight="1">
      <c r="E538" s="22"/>
      <c r="G538" s="4"/>
    </row>
    <row r="539" ht="14.25" customHeight="1">
      <c r="E539" s="22"/>
      <c r="G539" s="4"/>
    </row>
    <row r="540" ht="14.25" customHeight="1">
      <c r="E540" s="22"/>
      <c r="G540" s="4"/>
    </row>
    <row r="541" ht="14.25" customHeight="1">
      <c r="E541" s="22"/>
      <c r="G541" s="4"/>
    </row>
    <row r="542" ht="14.25" customHeight="1">
      <c r="E542" s="22"/>
      <c r="G542" s="4"/>
    </row>
    <row r="543" ht="14.25" customHeight="1">
      <c r="E543" s="22"/>
      <c r="G543" s="4"/>
    </row>
    <row r="544" ht="14.25" customHeight="1">
      <c r="E544" s="22"/>
      <c r="G544" s="4"/>
    </row>
    <row r="545" ht="14.25" customHeight="1">
      <c r="E545" s="22"/>
      <c r="G545" s="4"/>
    </row>
    <row r="546" ht="14.25" customHeight="1">
      <c r="E546" s="22"/>
      <c r="G546" s="4"/>
    </row>
    <row r="547" ht="14.25" customHeight="1">
      <c r="E547" s="22"/>
      <c r="G547" s="4"/>
    </row>
    <row r="548" ht="14.25" customHeight="1">
      <c r="E548" s="22"/>
      <c r="G548" s="4"/>
    </row>
    <row r="549" ht="14.25" customHeight="1">
      <c r="E549" s="22"/>
      <c r="G549" s="4"/>
    </row>
    <row r="550" ht="14.25" customHeight="1">
      <c r="E550" s="22"/>
      <c r="G550" s="4"/>
    </row>
    <row r="551" ht="14.25" customHeight="1">
      <c r="E551" s="22"/>
      <c r="G551" s="4"/>
    </row>
    <row r="552" ht="14.25" customHeight="1">
      <c r="E552" s="22"/>
      <c r="G552" s="4"/>
    </row>
    <row r="553" ht="14.25" customHeight="1">
      <c r="E553" s="22"/>
      <c r="G553" s="4"/>
    </row>
    <row r="554" ht="14.25" customHeight="1">
      <c r="E554" s="22"/>
      <c r="G554" s="4"/>
    </row>
    <row r="555" ht="14.25" customHeight="1">
      <c r="E555" s="22"/>
      <c r="G555" s="4"/>
    </row>
    <row r="556" ht="14.25" customHeight="1">
      <c r="E556" s="22"/>
      <c r="G556" s="4"/>
    </row>
    <row r="557" ht="14.25" customHeight="1">
      <c r="E557" s="22"/>
      <c r="G557" s="4"/>
    </row>
    <row r="558" ht="14.25" customHeight="1">
      <c r="E558" s="22"/>
      <c r="G558" s="4"/>
    </row>
    <row r="559" ht="14.25" customHeight="1">
      <c r="E559" s="22"/>
      <c r="G559" s="4"/>
    </row>
    <row r="560" ht="14.25" customHeight="1">
      <c r="E560" s="22"/>
      <c r="G560" s="4"/>
    </row>
    <row r="561" ht="14.25" customHeight="1">
      <c r="E561" s="22"/>
      <c r="G561" s="4"/>
    </row>
    <row r="562" ht="14.25" customHeight="1">
      <c r="E562" s="22"/>
      <c r="G562" s="4"/>
    </row>
    <row r="563" ht="14.25" customHeight="1">
      <c r="E563" s="22"/>
      <c r="G563" s="4"/>
    </row>
    <row r="564" ht="14.25" customHeight="1">
      <c r="E564" s="22"/>
      <c r="G564" s="4"/>
    </row>
    <row r="565" ht="14.25" customHeight="1">
      <c r="E565" s="22"/>
      <c r="G565" s="4"/>
    </row>
    <row r="566" ht="14.25" customHeight="1">
      <c r="E566" s="22"/>
      <c r="G566" s="4"/>
    </row>
    <row r="567" ht="14.25" customHeight="1">
      <c r="E567" s="22"/>
      <c r="G567" s="4"/>
    </row>
    <row r="568" ht="14.25" customHeight="1">
      <c r="E568" s="22"/>
      <c r="G568" s="4"/>
    </row>
    <row r="569" ht="14.25" customHeight="1">
      <c r="E569" s="22"/>
      <c r="G569" s="4"/>
    </row>
    <row r="570" ht="14.25" customHeight="1">
      <c r="E570" s="22"/>
      <c r="G570" s="4"/>
    </row>
    <row r="571" ht="14.25" customHeight="1">
      <c r="E571" s="22"/>
      <c r="G571" s="4"/>
    </row>
    <row r="572" ht="14.25" customHeight="1">
      <c r="E572" s="22"/>
      <c r="G572" s="4"/>
    </row>
    <row r="573" ht="14.25" customHeight="1">
      <c r="E573" s="22"/>
      <c r="G573" s="4"/>
    </row>
    <row r="574" ht="14.25" customHeight="1">
      <c r="E574" s="22"/>
      <c r="G574" s="4"/>
    </row>
    <row r="575" ht="14.25" customHeight="1">
      <c r="E575" s="22"/>
      <c r="G575" s="4"/>
    </row>
    <row r="576" ht="14.25" customHeight="1">
      <c r="E576" s="22"/>
      <c r="G576" s="4"/>
    </row>
    <row r="577" ht="14.25" customHeight="1">
      <c r="E577" s="22"/>
      <c r="G577" s="4"/>
    </row>
    <row r="578" ht="14.25" customHeight="1">
      <c r="E578" s="22"/>
      <c r="G578" s="4"/>
    </row>
    <row r="579" ht="14.25" customHeight="1">
      <c r="E579" s="22"/>
      <c r="G579" s="4"/>
    </row>
    <row r="580" ht="14.25" customHeight="1">
      <c r="E580" s="22"/>
      <c r="G580" s="4"/>
    </row>
    <row r="581" ht="14.25" customHeight="1">
      <c r="E581" s="22"/>
      <c r="G581" s="4"/>
    </row>
    <row r="582" ht="14.25" customHeight="1">
      <c r="E582" s="22"/>
      <c r="G582" s="4"/>
    </row>
    <row r="583" ht="14.25" customHeight="1">
      <c r="E583" s="22"/>
      <c r="G583" s="4"/>
    </row>
    <row r="584" ht="14.25" customHeight="1">
      <c r="E584" s="22"/>
      <c r="G584" s="4"/>
    </row>
    <row r="585" ht="14.25" customHeight="1">
      <c r="E585" s="22"/>
      <c r="G585" s="4"/>
    </row>
    <row r="586" ht="14.25" customHeight="1">
      <c r="E586" s="22"/>
      <c r="G586" s="4"/>
    </row>
    <row r="587" ht="14.25" customHeight="1">
      <c r="E587" s="22"/>
      <c r="G587" s="4"/>
    </row>
    <row r="588" ht="14.25" customHeight="1">
      <c r="E588" s="22"/>
      <c r="G588" s="4"/>
    </row>
    <row r="589" ht="14.25" customHeight="1">
      <c r="E589" s="22"/>
      <c r="G589" s="4"/>
    </row>
    <row r="590" ht="14.25" customHeight="1">
      <c r="E590" s="22"/>
      <c r="G590" s="4"/>
    </row>
    <row r="591" ht="14.25" customHeight="1">
      <c r="E591" s="22"/>
      <c r="G591" s="4"/>
    </row>
    <row r="592" ht="14.25" customHeight="1">
      <c r="E592" s="22"/>
      <c r="G592" s="4"/>
    </row>
    <row r="593" ht="14.25" customHeight="1">
      <c r="E593" s="22"/>
      <c r="G593" s="4"/>
    </row>
    <row r="594" ht="14.25" customHeight="1">
      <c r="E594" s="22"/>
      <c r="G594" s="4"/>
    </row>
    <row r="595" ht="14.25" customHeight="1">
      <c r="E595" s="22"/>
      <c r="G595" s="4"/>
    </row>
    <row r="596" ht="14.25" customHeight="1">
      <c r="E596" s="22"/>
      <c r="G596" s="4"/>
    </row>
    <row r="597" ht="14.25" customHeight="1">
      <c r="E597" s="22"/>
      <c r="G597" s="4"/>
    </row>
    <row r="598" ht="14.25" customHeight="1">
      <c r="E598" s="22"/>
      <c r="G598" s="4"/>
    </row>
    <row r="599" ht="14.25" customHeight="1">
      <c r="E599" s="22"/>
      <c r="G599" s="4"/>
    </row>
    <row r="600" ht="14.25" customHeight="1">
      <c r="E600" s="22"/>
      <c r="G600" s="4"/>
    </row>
    <row r="601" ht="14.25" customHeight="1">
      <c r="E601" s="22"/>
      <c r="G601" s="4"/>
    </row>
    <row r="602" ht="14.25" customHeight="1">
      <c r="E602" s="22"/>
      <c r="G602" s="4"/>
    </row>
    <row r="603" ht="14.25" customHeight="1">
      <c r="E603" s="22"/>
      <c r="G603" s="4"/>
    </row>
    <row r="604" ht="14.25" customHeight="1">
      <c r="E604" s="22"/>
      <c r="G604" s="4"/>
    </row>
    <row r="605" ht="14.25" customHeight="1">
      <c r="E605" s="22"/>
      <c r="G605" s="4"/>
    </row>
    <row r="606" ht="14.25" customHeight="1">
      <c r="E606" s="22"/>
      <c r="G606" s="4"/>
    </row>
    <row r="607" ht="14.25" customHeight="1">
      <c r="E607" s="22"/>
      <c r="G607" s="4"/>
    </row>
    <row r="608" ht="14.25" customHeight="1">
      <c r="E608" s="22"/>
      <c r="G608" s="4"/>
    </row>
    <row r="609" ht="14.25" customHeight="1">
      <c r="E609" s="22"/>
      <c r="G609" s="4"/>
    </row>
    <row r="610" ht="14.25" customHeight="1">
      <c r="E610" s="22"/>
      <c r="G610" s="4"/>
    </row>
    <row r="611" ht="14.25" customHeight="1">
      <c r="E611" s="22"/>
      <c r="G611" s="4"/>
    </row>
    <row r="612" ht="14.25" customHeight="1">
      <c r="E612" s="22"/>
      <c r="G612" s="4"/>
    </row>
    <row r="613" ht="14.25" customHeight="1">
      <c r="E613" s="22"/>
      <c r="G613" s="4"/>
    </row>
    <row r="614" ht="14.25" customHeight="1">
      <c r="E614" s="22"/>
      <c r="G614" s="4"/>
    </row>
    <row r="615" ht="14.25" customHeight="1">
      <c r="E615" s="22"/>
      <c r="G615" s="4"/>
    </row>
    <row r="616" ht="14.25" customHeight="1">
      <c r="E616" s="22"/>
      <c r="G616" s="4"/>
    </row>
    <row r="617" ht="14.25" customHeight="1">
      <c r="E617" s="22"/>
      <c r="G617" s="4"/>
    </row>
    <row r="618" ht="14.25" customHeight="1">
      <c r="E618" s="22"/>
      <c r="G618" s="4"/>
    </row>
    <row r="619" ht="14.25" customHeight="1">
      <c r="E619" s="22"/>
      <c r="G619" s="4"/>
    </row>
    <row r="620" ht="14.25" customHeight="1">
      <c r="E620" s="22"/>
      <c r="G620" s="4"/>
    </row>
    <row r="621" ht="14.25" customHeight="1">
      <c r="E621" s="22"/>
      <c r="G621" s="4"/>
    </row>
    <row r="622" ht="14.25" customHeight="1">
      <c r="E622" s="22"/>
      <c r="G622" s="4"/>
    </row>
    <row r="623" ht="14.25" customHeight="1">
      <c r="E623" s="22"/>
      <c r="G623" s="4"/>
    </row>
    <row r="624" ht="14.25" customHeight="1">
      <c r="E624" s="22"/>
      <c r="G624" s="4"/>
    </row>
    <row r="625" ht="14.25" customHeight="1">
      <c r="E625" s="22"/>
      <c r="G625" s="4"/>
    </row>
    <row r="626" ht="14.25" customHeight="1">
      <c r="E626" s="22"/>
      <c r="G626" s="4"/>
    </row>
    <row r="627" ht="14.25" customHeight="1">
      <c r="E627" s="22"/>
      <c r="G627" s="4"/>
    </row>
    <row r="628" ht="14.25" customHeight="1">
      <c r="E628" s="22"/>
      <c r="G628" s="4"/>
    </row>
    <row r="629" ht="14.25" customHeight="1">
      <c r="E629" s="22"/>
      <c r="G629" s="4"/>
    </row>
    <row r="630" ht="14.25" customHeight="1">
      <c r="E630" s="22"/>
      <c r="G630" s="4"/>
    </row>
    <row r="631" ht="14.25" customHeight="1">
      <c r="E631" s="22"/>
      <c r="G631" s="4"/>
    </row>
    <row r="632" ht="14.25" customHeight="1">
      <c r="E632" s="22"/>
      <c r="G632" s="4"/>
    </row>
    <row r="633" ht="14.25" customHeight="1">
      <c r="E633" s="22"/>
      <c r="G633" s="4"/>
    </row>
    <row r="634" ht="14.25" customHeight="1">
      <c r="E634" s="22"/>
      <c r="G634" s="4"/>
    </row>
    <row r="635" ht="14.25" customHeight="1">
      <c r="E635" s="22"/>
      <c r="G635" s="4"/>
    </row>
    <row r="636" ht="14.25" customHeight="1">
      <c r="E636" s="22"/>
      <c r="G636" s="4"/>
    </row>
    <row r="637" ht="14.25" customHeight="1">
      <c r="E637" s="22"/>
      <c r="G637" s="4"/>
    </row>
    <row r="638" ht="14.25" customHeight="1">
      <c r="E638" s="22"/>
      <c r="G638" s="4"/>
    </row>
    <row r="639" ht="14.25" customHeight="1">
      <c r="E639" s="22"/>
      <c r="G639" s="4"/>
    </row>
    <row r="640" ht="14.25" customHeight="1">
      <c r="E640" s="22"/>
      <c r="G640" s="4"/>
    </row>
    <row r="641" ht="14.25" customHeight="1">
      <c r="E641" s="22"/>
      <c r="G641" s="4"/>
    </row>
    <row r="642" ht="14.25" customHeight="1">
      <c r="E642" s="22"/>
      <c r="G642" s="4"/>
    </row>
    <row r="643" ht="14.25" customHeight="1">
      <c r="E643" s="22"/>
      <c r="G643" s="4"/>
    </row>
    <row r="644" ht="14.25" customHeight="1">
      <c r="E644" s="22"/>
      <c r="G644" s="4"/>
    </row>
    <row r="645" ht="14.25" customHeight="1">
      <c r="E645" s="22"/>
      <c r="G645" s="4"/>
    </row>
    <row r="646" ht="14.25" customHeight="1">
      <c r="E646" s="22"/>
      <c r="G646" s="4"/>
    </row>
    <row r="647" ht="14.25" customHeight="1">
      <c r="E647" s="22"/>
      <c r="G647" s="4"/>
    </row>
    <row r="648" ht="14.25" customHeight="1">
      <c r="E648" s="22"/>
      <c r="G648" s="4"/>
    </row>
    <row r="649" ht="14.25" customHeight="1">
      <c r="E649" s="22"/>
      <c r="G649" s="4"/>
    </row>
    <row r="650" ht="14.25" customHeight="1">
      <c r="E650" s="22"/>
      <c r="G650" s="4"/>
    </row>
    <row r="651" ht="14.25" customHeight="1">
      <c r="E651" s="22"/>
      <c r="G651" s="4"/>
    </row>
    <row r="652" ht="14.25" customHeight="1">
      <c r="E652" s="22"/>
      <c r="G652" s="4"/>
    </row>
    <row r="653" ht="14.25" customHeight="1">
      <c r="E653" s="22"/>
      <c r="G653" s="4"/>
    </row>
    <row r="654" ht="14.25" customHeight="1">
      <c r="E654" s="22"/>
      <c r="G654" s="4"/>
    </row>
    <row r="655" ht="14.25" customHeight="1">
      <c r="E655" s="22"/>
      <c r="G655" s="4"/>
    </row>
    <row r="656" ht="14.25" customHeight="1">
      <c r="E656" s="22"/>
      <c r="G656" s="4"/>
    </row>
    <row r="657" ht="14.25" customHeight="1">
      <c r="E657" s="22"/>
      <c r="G657" s="4"/>
    </row>
    <row r="658" ht="14.25" customHeight="1">
      <c r="E658" s="22"/>
      <c r="G658" s="4"/>
    </row>
    <row r="659" ht="14.25" customHeight="1">
      <c r="E659" s="22"/>
      <c r="G659" s="4"/>
    </row>
    <row r="660" ht="14.25" customHeight="1">
      <c r="E660" s="22"/>
      <c r="G660" s="4"/>
    </row>
    <row r="661" ht="14.25" customHeight="1">
      <c r="E661" s="22"/>
      <c r="G661" s="4"/>
    </row>
    <row r="662" ht="14.25" customHeight="1">
      <c r="E662" s="22"/>
      <c r="G662" s="4"/>
    </row>
    <row r="663" ht="14.25" customHeight="1">
      <c r="E663" s="22"/>
      <c r="G663" s="4"/>
    </row>
    <row r="664" ht="14.25" customHeight="1">
      <c r="E664" s="22"/>
      <c r="G664" s="4"/>
    </row>
    <row r="665" ht="14.25" customHeight="1">
      <c r="E665" s="22"/>
      <c r="G665" s="4"/>
    </row>
    <row r="666" ht="14.25" customHeight="1">
      <c r="E666" s="22"/>
      <c r="G666" s="4"/>
    </row>
    <row r="667" ht="14.25" customHeight="1">
      <c r="E667" s="22"/>
      <c r="G667" s="4"/>
    </row>
    <row r="668" ht="14.25" customHeight="1">
      <c r="E668" s="22"/>
      <c r="G668" s="4"/>
    </row>
    <row r="669" ht="14.25" customHeight="1">
      <c r="E669" s="22"/>
      <c r="G669" s="4"/>
    </row>
    <row r="670" ht="14.25" customHeight="1">
      <c r="E670" s="22"/>
      <c r="G670" s="4"/>
    </row>
    <row r="671" ht="14.25" customHeight="1">
      <c r="E671" s="22"/>
      <c r="G671" s="4"/>
    </row>
    <row r="672" ht="14.25" customHeight="1">
      <c r="E672" s="22"/>
      <c r="G672" s="4"/>
    </row>
    <row r="673" ht="14.25" customHeight="1">
      <c r="E673" s="22"/>
      <c r="G673" s="4"/>
    </row>
    <row r="674" ht="14.25" customHeight="1">
      <c r="E674" s="22"/>
      <c r="G674" s="4"/>
    </row>
    <row r="675" ht="14.25" customHeight="1">
      <c r="E675" s="22"/>
      <c r="G675" s="4"/>
    </row>
    <row r="676" ht="14.25" customHeight="1">
      <c r="E676" s="22"/>
      <c r="G676" s="4"/>
    </row>
    <row r="677" ht="14.25" customHeight="1">
      <c r="E677" s="22"/>
      <c r="G677" s="4"/>
    </row>
    <row r="678" ht="14.25" customHeight="1">
      <c r="E678" s="22"/>
      <c r="G678" s="4"/>
    </row>
    <row r="679" ht="14.25" customHeight="1">
      <c r="E679" s="22"/>
      <c r="G679" s="4"/>
    </row>
    <row r="680" ht="14.25" customHeight="1">
      <c r="E680" s="22"/>
      <c r="G680" s="4"/>
    </row>
    <row r="681" ht="14.25" customHeight="1">
      <c r="E681" s="22"/>
      <c r="G681" s="4"/>
    </row>
    <row r="682" ht="14.25" customHeight="1">
      <c r="E682" s="22"/>
      <c r="G682" s="4"/>
    </row>
    <row r="683" ht="14.25" customHeight="1">
      <c r="E683" s="22"/>
      <c r="G683" s="4"/>
    </row>
    <row r="684" ht="14.25" customHeight="1">
      <c r="E684" s="22"/>
      <c r="G684" s="4"/>
    </row>
    <row r="685" ht="14.25" customHeight="1">
      <c r="E685" s="22"/>
      <c r="G685" s="4"/>
    </row>
    <row r="686" ht="14.25" customHeight="1">
      <c r="E686" s="22"/>
      <c r="G686" s="4"/>
    </row>
    <row r="687" ht="14.25" customHeight="1">
      <c r="E687" s="22"/>
      <c r="G687" s="4"/>
    </row>
    <row r="688" ht="14.25" customHeight="1">
      <c r="E688" s="22"/>
      <c r="G688" s="4"/>
    </row>
    <row r="689" ht="14.25" customHeight="1">
      <c r="E689" s="22"/>
      <c r="G689" s="4"/>
    </row>
    <row r="690" ht="14.25" customHeight="1">
      <c r="E690" s="22"/>
      <c r="G690" s="4"/>
    </row>
    <row r="691" ht="14.25" customHeight="1">
      <c r="E691" s="22"/>
      <c r="G691" s="4"/>
    </row>
    <row r="692" ht="14.25" customHeight="1">
      <c r="E692" s="22"/>
      <c r="G692" s="4"/>
    </row>
    <row r="693" ht="14.25" customHeight="1">
      <c r="E693" s="22"/>
      <c r="G693" s="4"/>
    </row>
    <row r="694" ht="14.25" customHeight="1">
      <c r="E694" s="22"/>
      <c r="G694" s="4"/>
    </row>
    <row r="695" ht="14.25" customHeight="1">
      <c r="E695" s="22"/>
      <c r="G695" s="4"/>
    </row>
    <row r="696" ht="14.25" customHeight="1">
      <c r="E696" s="22"/>
      <c r="G696" s="4"/>
    </row>
    <row r="697" ht="14.25" customHeight="1">
      <c r="E697" s="22"/>
      <c r="G697" s="4"/>
    </row>
    <row r="698" ht="14.25" customHeight="1">
      <c r="E698" s="22"/>
      <c r="G698" s="4"/>
    </row>
    <row r="699" ht="14.25" customHeight="1">
      <c r="E699" s="22"/>
      <c r="G699" s="4"/>
    </row>
    <row r="700" ht="14.25" customHeight="1">
      <c r="E700" s="22"/>
      <c r="G700" s="4"/>
    </row>
    <row r="701" ht="14.25" customHeight="1">
      <c r="E701" s="22"/>
      <c r="G701" s="4"/>
    </row>
    <row r="702" ht="14.25" customHeight="1">
      <c r="E702" s="22"/>
      <c r="G702" s="4"/>
    </row>
    <row r="703" ht="14.25" customHeight="1">
      <c r="E703" s="22"/>
      <c r="G703" s="4"/>
    </row>
    <row r="704" ht="14.25" customHeight="1">
      <c r="E704" s="22"/>
      <c r="G704" s="4"/>
    </row>
    <row r="705" ht="14.25" customHeight="1">
      <c r="E705" s="22"/>
      <c r="G705" s="4"/>
    </row>
    <row r="706" ht="14.25" customHeight="1">
      <c r="E706" s="22"/>
      <c r="G706" s="4"/>
    </row>
    <row r="707" ht="14.25" customHeight="1">
      <c r="E707" s="22"/>
      <c r="G707" s="4"/>
    </row>
    <row r="708" ht="14.25" customHeight="1">
      <c r="E708" s="22"/>
      <c r="G708" s="4"/>
    </row>
    <row r="709" ht="14.25" customHeight="1">
      <c r="E709" s="22"/>
      <c r="G709" s="4"/>
    </row>
    <row r="710" ht="14.25" customHeight="1">
      <c r="E710" s="22"/>
      <c r="G710" s="4"/>
    </row>
    <row r="711" ht="14.25" customHeight="1">
      <c r="E711" s="22"/>
      <c r="G711" s="4"/>
    </row>
    <row r="712" ht="14.25" customHeight="1">
      <c r="E712" s="22"/>
      <c r="G712" s="4"/>
    </row>
    <row r="713" ht="14.25" customHeight="1">
      <c r="E713" s="22"/>
      <c r="G713" s="4"/>
    </row>
    <row r="714" ht="14.25" customHeight="1">
      <c r="E714" s="22"/>
      <c r="G714" s="4"/>
    </row>
    <row r="715" ht="14.25" customHeight="1">
      <c r="E715" s="22"/>
      <c r="G715" s="4"/>
    </row>
    <row r="716" ht="14.25" customHeight="1">
      <c r="E716" s="22"/>
      <c r="G716" s="4"/>
    </row>
    <row r="717" ht="14.25" customHeight="1">
      <c r="E717" s="22"/>
      <c r="G717" s="4"/>
    </row>
    <row r="718" ht="14.25" customHeight="1">
      <c r="E718" s="22"/>
      <c r="G718" s="4"/>
    </row>
    <row r="719" ht="14.25" customHeight="1">
      <c r="E719" s="22"/>
      <c r="G719" s="4"/>
    </row>
    <row r="720" ht="14.25" customHeight="1">
      <c r="E720" s="22"/>
      <c r="G720" s="4"/>
    </row>
    <row r="721" ht="14.25" customHeight="1">
      <c r="E721" s="22"/>
      <c r="G721" s="4"/>
    </row>
    <row r="722" ht="14.25" customHeight="1">
      <c r="E722" s="22"/>
      <c r="G722" s="4"/>
    </row>
    <row r="723" ht="14.25" customHeight="1">
      <c r="E723" s="22"/>
      <c r="G723" s="4"/>
    </row>
    <row r="724" ht="14.25" customHeight="1">
      <c r="E724" s="22"/>
      <c r="G724" s="4"/>
    </row>
    <row r="725" ht="14.25" customHeight="1">
      <c r="E725" s="22"/>
      <c r="G725" s="4"/>
    </row>
    <row r="726" ht="14.25" customHeight="1">
      <c r="E726" s="22"/>
      <c r="G726" s="4"/>
    </row>
    <row r="727" ht="14.25" customHeight="1">
      <c r="E727" s="22"/>
      <c r="G727" s="4"/>
    </row>
    <row r="728" ht="14.25" customHeight="1">
      <c r="E728" s="22"/>
      <c r="G728" s="4"/>
    </row>
    <row r="729" ht="14.25" customHeight="1">
      <c r="E729" s="22"/>
      <c r="G729" s="4"/>
    </row>
    <row r="730" ht="14.25" customHeight="1">
      <c r="E730" s="22"/>
      <c r="G730" s="4"/>
    </row>
    <row r="731" ht="14.25" customHeight="1">
      <c r="E731" s="22"/>
      <c r="G731" s="4"/>
    </row>
    <row r="732" ht="14.25" customHeight="1">
      <c r="E732" s="22"/>
      <c r="G732" s="4"/>
    </row>
    <row r="733" ht="14.25" customHeight="1">
      <c r="E733" s="22"/>
      <c r="G733" s="4"/>
    </row>
    <row r="734" ht="14.25" customHeight="1">
      <c r="E734" s="22"/>
      <c r="G734" s="4"/>
    </row>
    <row r="735" ht="14.25" customHeight="1">
      <c r="E735" s="22"/>
      <c r="G735" s="4"/>
    </row>
    <row r="736" ht="14.25" customHeight="1">
      <c r="E736" s="22"/>
      <c r="G736" s="4"/>
    </row>
    <row r="737" ht="14.25" customHeight="1">
      <c r="E737" s="22"/>
      <c r="G737" s="4"/>
    </row>
    <row r="738" ht="14.25" customHeight="1">
      <c r="E738" s="22"/>
      <c r="G738" s="4"/>
    </row>
    <row r="739" ht="14.25" customHeight="1">
      <c r="E739" s="22"/>
      <c r="G739" s="4"/>
    </row>
    <row r="740" ht="14.25" customHeight="1">
      <c r="E740" s="22"/>
      <c r="G740" s="4"/>
    </row>
    <row r="741" ht="14.25" customHeight="1">
      <c r="E741" s="22"/>
      <c r="G741" s="4"/>
    </row>
    <row r="742" ht="14.25" customHeight="1">
      <c r="E742" s="22"/>
      <c r="G742" s="4"/>
    </row>
    <row r="743" ht="14.25" customHeight="1">
      <c r="E743" s="22"/>
      <c r="G743" s="4"/>
    </row>
    <row r="744" ht="14.25" customHeight="1">
      <c r="E744" s="22"/>
      <c r="G744" s="4"/>
    </row>
    <row r="745" ht="14.25" customHeight="1">
      <c r="E745" s="22"/>
      <c r="G745" s="4"/>
    </row>
    <row r="746" ht="14.25" customHeight="1">
      <c r="E746" s="22"/>
      <c r="G746" s="4"/>
    </row>
    <row r="747" ht="14.25" customHeight="1">
      <c r="E747" s="22"/>
      <c r="G747" s="4"/>
    </row>
    <row r="748" ht="14.25" customHeight="1">
      <c r="E748" s="22"/>
      <c r="G748" s="4"/>
    </row>
    <row r="749" ht="14.25" customHeight="1">
      <c r="E749" s="22"/>
      <c r="G749" s="4"/>
    </row>
    <row r="750" ht="14.25" customHeight="1">
      <c r="E750" s="22"/>
      <c r="G750" s="4"/>
    </row>
    <row r="751" ht="14.25" customHeight="1">
      <c r="E751" s="22"/>
      <c r="G751" s="4"/>
    </row>
    <row r="752" ht="14.25" customHeight="1">
      <c r="E752" s="22"/>
      <c r="G752" s="4"/>
    </row>
    <row r="753" ht="14.25" customHeight="1">
      <c r="E753" s="22"/>
      <c r="G753" s="4"/>
    </row>
    <row r="754" ht="14.25" customHeight="1">
      <c r="E754" s="22"/>
      <c r="G754" s="4"/>
    </row>
    <row r="755" ht="14.25" customHeight="1">
      <c r="E755" s="22"/>
      <c r="G755" s="4"/>
    </row>
    <row r="756" ht="14.25" customHeight="1">
      <c r="E756" s="22"/>
      <c r="G756" s="4"/>
    </row>
    <row r="757" ht="14.25" customHeight="1">
      <c r="E757" s="22"/>
      <c r="G757" s="4"/>
    </row>
    <row r="758" ht="14.25" customHeight="1">
      <c r="E758" s="22"/>
      <c r="G758" s="4"/>
    </row>
    <row r="759" ht="14.25" customHeight="1">
      <c r="E759" s="22"/>
      <c r="G759" s="4"/>
    </row>
    <row r="760" ht="14.25" customHeight="1">
      <c r="E760" s="22"/>
      <c r="G760" s="4"/>
    </row>
    <row r="761" ht="14.25" customHeight="1">
      <c r="E761" s="22"/>
      <c r="G761" s="4"/>
    </row>
    <row r="762" ht="14.25" customHeight="1">
      <c r="E762" s="22"/>
      <c r="G762" s="4"/>
    </row>
    <row r="763" ht="14.25" customHeight="1">
      <c r="E763" s="22"/>
      <c r="G763" s="4"/>
    </row>
    <row r="764" ht="14.25" customHeight="1">
      <c r="E764" s="22"/>
      <c r="G764" s="4"/>
    </row>
    <row r="765" ht="14.25" customHeight="1">
      <c r="E765" s="22"/>
      <c r="G765" s="4"/>
    </row>
    <row r="766" ht="14.25" customHeight="1">
      <c r="E766" s="22"/>
      <c r="G766" s="4"/>
    </row>
    <row r="767" ht="14.25" customHeight="1">
      <c r="E767" s="22"/>
      <c r="G767" s="4"/>
    </row>
    <row r="768" ht="14.25" customHeight="1">
      <c r="E768" s="22"/>
      <c r="G768" s="4"/>
    </row>
    <row r="769" ht="14.25" customHeight="1">
      <c r="E769" s="22"/>
      <c r="G769" s="4"/>
    </row>
    <row r="770" ht="14.25" customHeight="1">
      <c r="E770" s="22"/>
      <c r="G770" s="4"/>
    </row>
    <row r="771" ht="14.25" customHeight="1">
      <c r="E771" s="22"/>
      <c r="G771" s="4"/>
    </row>
    <row r="772" ht="14.25" customHeight="1">
      <c r="E772" s="22"/>
      <c r="G772" s="4"/>
    </row>
    <row r="773" ht="14.25" customHeight="1">
      <c r="E773" s="22"/>
      <c r="G773" s="4"/>
    </row>
    <row r="774" ht="14.25" customHeight="1">
      <c r="E774" s="22"/>
      <c r="G774" s="4"/>
    </row>
    <row r="775" ht="14.25" customHeight="1">
      <c r="E775" s="22"/>
      <c r="G775" s="4"/>
    </row>
    <row r="776" ht="14.25" customHeight="1">
      <c r="E776" s="22"/>
      <c r="G776" s="4"/>
    </row>
    <row r="777" ht="14.25" customHeight="1">
      <c r="E777" s="22"/>
      <c r="G777" s="4"/>
    </row>
    <row r="778" ht="14.25" customHeight="1">
      <c r="E778" s="22"/>
      <c r="G778" s="4"/>
    </row>
    <row r="779" ht="14.25" customHeight="1">
      <c r="E779" s="22"/>
      <c r="G779" s="4"/>
    </row>
    <row r="780" ht="14.25" customHeight="1">
      <c r="E780" s="22"/>
      <c r="G780" s="4"/>
    </row>
    <row r="781" ht="14.25" customHeight="1">
      <c r="E781" s="22"/>
      <c r="G781" s="4"/>
    </row>
    <row r="782" ht="14.25" customHeight="1">
      <c r="E782" s="22"/>
      <c r="G782" s="4"/>
    </row>
    <row r="783" ht="14.25" customHeight="1">
      <c r="E783" s="22"/>
      <c r="G783" s="4"/>
    </row>
    <row r="784" ht="14.25" customHeight="1">
      <c r="E784" s="22"/>
      <c r="G784" s="4"/>
    </row>
    <row r="785" ht="14.25" customHeight="1">
      <c r="E785" s="22"/>
      <c r="G785" s="4"/>
    </row>
    <row r="786" ht="14.25" customHeight="1">
      <c r="E786" s="22"/>
      <c r="G786" s="4"/>
    </row>
    <row r="787" ht="14.25" customHeight="1">
      <c r="E787" s="22"/>
      <c r="G787" s="4"/>
    </row>
    <row r="788" ht="14.25" customHeight="1">
      <c r="E788" s="22"/>
      <c r="G788" s="4"/>
    </row>
    <row r="789" ht="14.25" customHeight="1">
      <c r="E789" s="22"/>
      <c r="G789" s="4"/>
    </row>
    <row r="790" ht="14.25" customHeight="1">
      <c r="E790" s="22"/>
      <c r="G790" s="4"/>
    </row>
    <row r="791" ht="14.25" customHeight="1">
      <c r="E791" s="22"/>
      <c r="G791" s="4"/>
    </row>
    <row r="792" ht="14.25" customHeight="1">
      <c r="E792" s="22"/>
      <c r="G792" s="4"/>
    </row>
    <row r="793" ht="14.25" customHeight="1">
      <c r="E793" s="22"/>
      <c r="G793" s="4"/>
    </row>
    <row r="794" ht="14.25" customHeight="1">
      <c r="E794" s="22"/>
      <c r="G794" s="4"/>
    </row>
    <row r="795" ht="14.25" customHeight="1">
      <c r="E795" s="22"/>
      <c r="G795" s="4"/>
    </row>
    <row r="796" ht="14.25" customHeight="1">
      <c r="E796" s="22"/>
      <c r="G796" s="4"/>
    </row>
    <row r="797" ht="14.25" customHeight="1">
      <c r="E797" s="22"/>
      <c r="G797" s="4"/>
    </row>
    <row r="798" ht="14.25" customHeight="1">
      <c r="E798" s="22"/>
      <c r="G798" s="4"/>
    </row>
    <row r="799" ht="14.25" customHeight="1">
      <c r="E799" s="22"/>
      <c r="G799" s="4"/>
    </row>
    <row r="800" ht="14.25" customHeight="1">
      <c r="E800" s="22"/>
      <c r="G800" s="4"/>
    </row>
    <row r="801" ht="14.25" customHeight="1">
      <c r="E801" s="22"/>
      <c r="G801" s="4"/>
    </row>
    <row r="802" ht="14.25" customHeight="1">
      <c r="E802" s="22"/>
      <c r="G802" s="4"/>
    </row>
    <row r="803" ht="14.25" customHeight="1">
      <c r="E803" s="22"/>
      <c r="G803" s="4"/>
    </row>
    <row r="804" ht="14.25" customHeight="1">
      <c r="E804" s="22"/>
      <c r="G804" s="4"/>
    </row>
    <row r="805" ht="14.25" customHeight="1">
      <c r="E805" s="22"/>
      <c r="G805" s="4"/>
    </row>
    <row r="806" ht="14.25" customHeight="1">
      <c r="E806" s="22"/>
      <c r="G806" s="4"/>
    </row>
    <row r="807" ht="14.25" customHeight="1">
      <c r="E807" s="22"/>
      <c r="G807" s="4"/>
    </row>
    <row r="808" ht="14.25" customHeight="1">
      <c r="E808" s="22"/>
      <c r="G808" s="4"/>
    </row>
    <row r="809" ht="14.25" customHeight="1">
      <c r="E809" s="22"/>
      <c r="G809" s="4"/>
    </row>
    <row r="810" ht="14.25" customHeight="1">
      <c r="E810" s="22"/>
      <c r="G810" s="4"/>
    </row>
    <row r="811" ht="14.25" customHeight="1">
      <c r="E811" s="22"/>
      <c r="G811" s="4"/>
    </row>
    <row r="812" ht="14.25" customHeight="1">
      <c r="E812" s="22"/>
      <c r="G812" s="4"/>
    </row>
    <row r="813" ht="14.25" customHeight="1">
      <c r="E813" s="22"/>
      <c r="G813" s="4"/>
    </row>
    <row r="814" ht="14.25" customHeight="1">
      <c r="E814" s="22"/>
      <c r="G814" s="4"/>
    </row>
    <row r="815" ht="14.25" customHeight="1">
      <c r="E815" s="22"/>
      <c r="G815" s="4"/>
    </row>
    <row r="816" ht="14.25" customHeight="1">
      <c r="E816" s="22"/>
      <c r="G816" s="4"/>
    </row>
    <row r="817" ht="14.25" customHeight="1">
      <c r="E817" s="22"/>
      <c r="G817" s="4"/>
    </row>
    <row r="818" ht="14.25" customHeight="1">
      <c r="E818" s="22"/>
      <c r="G818" s="4"/>
    </row>
    <row r="819" ht="14.25" customHeight="1">
      <c r="E819" s="22"/>
      <c r="G819" s="4"/>
    </row>
    <row r="820" ht="14.25" customHeight="1">
      <c r="E820" s="22"/>
      <c r="G820" s="4"/>
    </row>
    <row r="821" ht="14.25" customHeight="1">
      <c r="E821" s="22"/>
      <c r="G821" s="4"/>
    </row>
    <row r="822" ht="14.25" customHeight="1">
      <c r="E822" s="22"/>
      <c r="G822" s="4"/>
    </row>
    <row r="823" ht="14.25" customHeight="1">
      <c r="E823" s="22"/>
      <c r="G823" s="4"/>
    </row>
    <row r="824" ht="14.25" customHeight="1">
      <c r="E824" s="22"/>
      <c r="G824" s="4"/>
    </row>
    <row r="825" ht="14.25" customHeight="1">
      <c r="E825" s="22"/>
      <c r="G825" s="4"/>
    </row>
    <row r="826" ht="14.25" customHeight="1">
      <c r="E826" s="22"/>
      <c r="G826" s="4"/>
    </row>
    <row r="827" ht="14.25" customHeight="1">
      <c r="E827" s="22"/>
      <c r="G827" s="4"/>
    </row>
    <row r="828" ht="14.25" customHeight="1">
      <c r="E828" s="22"/>
      <c r="G828" s="4"/>
    </row>
    <row r="829" ht="14.25" customHeight="1">
      <c r="E829" s="22"/>
      <c r="G829" s="4"/>
    </row>
    <row r="830" ht="14.25" customHeight="1">
      <c r="E830" s="22"/>
      <c r="G830" s="4"/>
    </row>
    <row r="831" ht="14.25" customHeight="1">
      <c r="E831" s="22"/>
      <c r="G831" s="4"/>
    </row>
    <row r="832" ht="14.25" customHeight="1">
      <c r="E832" s="22"/>
      <c r="G832" s="4"/>
    </row>
    <row r="833" ht="14.25" customHeight="1">
      <c r="E833" s="22"/>
      <c r="G833" s="4"/>
    </row>
    <row r="834" ht="14.25" customHeight="1">
      <c r="E834" s="22"/>
      <c r="G834" s="4"/>
    </row>
    <row r="835" ht="14.25" customHeight="1">
      <c r="E835" s="22"/>
      <c r="G835" s="4"/>
    </row>
    <row r="836" ht="14.25" customHeight="1">
      <c r="E836" s="22"/>
      <c r="G836" s="4"/>
    </row>
    <row r="837" ht="14.25" customHeight="1">
      <c r="E837" s="22"/>
      <c r="G837" s="4"/>
    </row>
    <row r="838" ht="14.25" customHeight="1">
      <c r="E838" s="22"/>
      <c r="G838" s="4"/>
    </row>
    <row r="839" ht="14.25" customHeight="1">
      <c r="E839" s="22"/>
      <c r="G839" s="4"/>
    </row>
    <row r="840" ht="14.25" customHeight="1">
      <c r="E840" s="22"/>
      <c r="G840" s="4"/>
    </row>
    <row r="841" ht="14.25" customHeight="1">
      <c r="E841" s="22"/>
      <c r="G841" s="4"/>
    </row>
    <row r="842" ht="14.25" customHeight="1">
      <c r="E842" s="22"/>
      <c r="G842" s="4"/>
    </row>
    <row r="843" ht="14.25" customHeight="1">
      <c r="E843" s="22"/>
      <c r="G843" s="4"/>
    </row>
    <row r="844" ht="14.25" customHeight="1">
      <c r="E844" s="22"/>
      <c r="G844" s="4"/>
    </row>
    <row r="845" ht="14.25" customHeight="1">
      <c r="E845" s="22"/>
      <c r="G845" s="4"/>
    </row>
    <row r="846" ht="14.25" customHeight="1">
      <c r="E846" s="22"/>
      <c r="G846" s="4"/>
    </row>
    <row r="847" ht="14.25" customHeight="1">
      <c r="E847" s="22"/>
      <c r="G847" s="4"/>
    </row>
    <row r="848" ht="14.25" customHeight="1">
      <c r="E848" s="22"/>
      <c r="G848" s="4"/>
    </row>
    <row r="849" ht="14.25" customHeight="1">
      <c r="E849" s="22"/>
      <c r="G849" s="4"/>
    </row>
    <row r="850" ht="14.25" customHeight="1">
      <c r="E850" s="22"/>
      <c r="G850" s="4"/>
    </row>
    <row r="851" ht="14.25" customHeight="1">
      <c r="E851" s="22"/>
      <c r="G851" s="4"/>
    </row>
    <row r="852" ht="14.25" customHeight="1">
      <c r="E852" s="22"/>
      <c r="G852" s="4"/>
    </row>
    <row r="853" ht="14.25" customHeight="1">
      <c r="E853" s="22"/>
      <c r="G853" s="4"/>
    </row>
    <row r="854" ht="14.25" customHeight="1">
      <c r="E854" s="22"/>
      <c r="G854" s="4"/>
    </row>
    <row r="855" ht="14.25" customHeight="1">
      <c r="E855" s="22"/>
      <c r="G855" s="4"/>
    </row>
    <row r="856" ht="14.25" customHeight="1">
      <c r="E856" s="22"/>
      <c r="G856" s="4"/>
    </row>
    <row r="857" ht="14.25" customHeight="1">
      <c r="E857" s="22"/>
      <c r="G857" s="4"/>
    </row>
    <row r="858" ht="14.25" customHeight="1">
      <c r="E858" s="22"/>
      <c r="G858" s="4"/>
    </row>
    <row r="859" ht="14.25" customHeight="1">
      <c r="E859" s="22"/>
      <c r="G859" s="4"/>
    </row>
    <row r="860" ht="14.25" customHeight="1">
      <c r="E860" s="22"/>
      <c r="G860" s="4"/>
    </row>
    <row r="861" ht="14.25" customHeight="1">
      <c r="E861" s="22"/>
      <c r="G861" s="4"/>
    </row>
    <row r="862" ht="14.25" customHeight="1">
      <c r="E862" s="22"/>
      <c r="G862" s="4"/>
    </row>
    <row r="863" ht="14.25" customHeight="1">
      <c r="E863" s="22"/>
      <c r="G863" s="4"/>
    </row>
    <row r="864" ht="14.25" customHeight="1">
      <c r="E864" s="22"/>
      <c r="G864" s="4"/>
    </row>
    <row r="865" ht="14.25" customHeight="1">
      <c r="E865" s="22"/>
      <c r="G865" s="4"/>
    </row>
    <row r="866" ht="14.25" customHeight="1">
      <c r="E866" s="22"/>
      <c r="G866" s="4"/>
    </row>
    <row r="867" ht="14.25" customHeight="1">
      <c r="E867" s="22"/>
      <c r="G867" s="4"/>
    </row>
    <row r="868" ht="14.25" customHeight="1">
      <c r="E868" s="22"/>
      <c r="G868" s="4"/>
    </row>
    <row r="869" ht="14.25" customHeight="1">
      <c r="E869" s="22"/>
      <c r="G869" s="4"/>
    </row>
    <row r="870" ht="14.25" customHeight="1">
      <c r="E870" s="22"/>
      <c r="G870" s="4"/>
    </row>
    <row r="871" ht="14.25" customHeight="1">
      <c r="E871" s="22"/>
      <c r="G871" s="4"/>
    </row>
    <row r="872" ht="14.25" customHeight="1">
      <c r="E872" s="22"/>
      <c r="G872" s="4"/>
    </row>
    <row r="873" ht="14.25" customHeight="1">
      <c r="E873" s="22"/>
      <c r="G873" s="4"/>
    </row>
    <row r="874" ht="14.25" customHeight="1">
      <c r="E874" s="22"/>
      <c r="G874" s="4"/>
    </row>
    <row r="875" ht="14.25" customHeight="1">
      <c r="E875" s="22"/>
      <c r="G875" s="4"/>
    </row>
    <row r="876" ht="14.25" customHeight="1">
      <c r="E876" s="22"/>
      <c r="G876" s="4"/>
    </row>
    <row r="877" ht="14.25" customHeight="1">
      <c r="E877" s="22"/>
      <c r="G877" s="4"/>
    </row>
    <row r="878" ht="14.25" customHeight="1">
      <c r="E878" s="22"/>
      <c r="G878" s="4"/>
    </row>
    <row r="879" ht="14.25" customHeight="1">
      <c r="E879" s="22"/>
      <c r="G879" s="4"/>
    </row>
    <row r="880" ht="14.25" customHeight="1">
      <c r="E880" s="22"/>
      <c r="G880" s="4"/>
    </row>
    <row r="881" ht="14.25" customHeight="1">
      <c r="E881" s="22"/>
      <c r="G881" s="4"/>
    </row>
    <row r="882" ht="14.25" customHeight="1">
      <c r="E882" s="22"/>
      <c r="G882" s="4"/>
    </row>
    <row r="883" ht="14.25" customHeight="1">
      <c r="E883" s="22"/>
      <c r="G883" s="4"/>
    </row>
    <row r="884" ht="14.25" customHeight="1">
      <c r="E884" s="22"/>
      <c r="G884" s="4"/>
    </row>
    <row r="885" ht="14.25" customHeight="1">
      <c r="E885" s="22"/>
      <c r="G885" s="4"/>
    </row>
    <row r="886" ht="14.25" customHeight="1">
      <c r="E886" s="22"/>
      <c r="G886" s="4"/>
    </row>
    <row r="887" ht="14.25" customHeight="1">
      <c r="E887" s="22"/>
      <c r="G887" s="4"/>
    </row>
    <row r="888" ht="14.25" customHeight="1">
      <c r="E888" s="22"/>
      <c r="G888" s="4"/>
    </row>
    <row r="889" ht="14.25" customHeight="1">
      <c r="E889" s="22"/>
      <c r="G889" s="4"/>
    </row>
    <row r="890" ht="14.25" customHeight="1">
      <c r="E890" s="22"/>
      <c r="G890" s="4"/>
    </row>
    <row r="891" ht="14.25" customHeight="1">
      <c r="E891" s="22"/>
      <c r="G891" s="4"/>
    </row>
    <row r="892" ht="14.25" customHeight="1">
      <c r="E892" s="22"/>
      <c r="G892" s="4"/>
    </row>
    <row r="893" ht="14.25" customHeight="1">
      <c r="E893" s="22"/>
      <c r="G893" s="4"/>
    </row>
    <row r="894" ht="14.25" customHeight="1">
      <c r="E894" s="22"/>
      <c r="G894" s="4"/>
    </row>
    <row r="895" ht="14.25" customHeight="1">
      <c r="E895" s="22"/>
      <c r="G895" s="4"/>
    </row>
    <row r="896" ht="14.25" customHeight="1">
      <c r="E896" s="22"/>
      <c r="G896" s="4"/>
    </row>
    <row r="897" ht="14.25" customHeight="1">
      <c r="E897" s="22"/>
      <c r="G897" s="4"/>
    </row>
    <row r="898" ht="14.25" customHeight="1">
      <c r="E898" s="22"/>
      <c r="G898" s="4"/>
    </row>
    <row r="899" ht="14.25" customHeight="1">
      <c r="E899" s="22"/>
      <c r="G899" s="4"/>
    </row>
    <row r="900" ht="14.25" customHeight="1">
      <c r="E900" s="22"/>
      <c r="G900" s="4"/>
    </row>
    <row r="901" ht="14.25" customHeight="1">
      <c r="E901" s="22"/>
      <c r="G901" s="4"/>
    </row>
    <row r="902" ht="14.25" customHeight="1">
      <c r="E902" s="22"/>
      <c r="G902" s="4"/>
    </row>
    <row r="903" ht="14.25" customHeight="1">
      <c r="E903" s="22"/>
      <c r="G903" s="4"/>
    </row>
    <row r="904" ht="14.25" customHeight="1">
      <c r="E904" s="22"/>
      <c r="G904" s="4"/>
    </row>
    <row r="905" ht="14.25" customHeight="1">
      <c r="E905" s="22"/>
      <c r="G905" s="4"/>
    </row>
    <row r="906" ht="14.25" customHeight="1">
      <c r="E906" s="22"/>
      <c r="G906" s="4"/>
    </row>
    <row r="907" ht="14.25" customHeight="1">
      <c r="E907" s="22"/>
      <c r="G907" s="4"/>
    </row>
    <row r="908" ht="14.25" customHeight="1">
      <c r="E908" s="22"/>
      <c r="G908" s="4"/>
    </row>
    <row r="909" ht="14.25" customHeight="1">
      <c r="E909" s="22"/>
      <c r="G909" s="4"/>
    </row>
    <row r="910" ht="14.25" customHeight="1">
      <c r="E910" s="22"/>
      <c r="G910" s="4"/>
    </row>
    <row r="911" ht="14.25" customHeight="1">
      <c r="E911" s="22"/>
      <c r="G911" s="4"/>
    </row>
    <row r="912" ht="14.25" customHeight="1">
      <c r="E912" s="22"/>
      <c r="G912" s="4"/>
    </row>
    <row r="913" ht="14.25" customHeight="1">
      <c r="E913" s="22"/>
      <c r="G913" s="4"/>
    </row>
    <row r="914" ht="14.25" customHeight="1">
      <c r="E914" s="22"/>
      <c r="G914" s="4"/>
    </row>
    <row r="915" ht="14.25" customHeight="1">
      <c r="E915" s="22"/>
      <c r="G915" s="4"/>
    </row>
    <row r="916" ht="14.25" customHeight="1">
      <c r="E916" s="22"/>
      <c r="G916" s="4"/>
    </row>
    <row r="917" ht="14.25" customHeight="1">
      <c r="E917" s="22"/>
      <c r="G917" s="4"/>
    </row>
    <row r="918" ht="14.25" customHeight="1">
      <c r="E918" s="22"/>
      <c r="G918" s="4"/>
    </row>
    <row r="919" ht="14.25" customHeight="1">
      <c r="E919" s="22"/>
      <c r="G919" s="4"/>
    </row>
    <row r="920" ht="14.25" customHeight="1">
      <c r="E920" s="22"/>
      <c r="G920" s="4"/>
    </row>
    <row r="921" ht="14.25" customHeight="1">
      <c r="E921" s="22"/>
      <c r="G921" s="4"/>
    </row>
    <row r="922" ht="14.25" customHeight="1">
      <c r="E922" s="22"/>
      <c r="G922" s="4"/>
    </row>
    <row r="923" ht="14.25" customHeight="1">
      <c r="E923" s="22"/>
      <c r="G923" s="4"/>
    </row>
    <row r="924" ht="14.25" customHeight="1">
      <c r="E924" s="22"/>
      <c r="G924" s="4"/>
    </row>
    <row r="925" ht="14.25" customHeight="1">
      <c r="E925" s="22"/>
      <c r="G925" s="4"/>
    </row>
    <row r="926" ht="14.25" customHeight="1">
      <c r="E926" s="22"/>
      <c r="G926" s="4"/>
    </row>
    <row r="927" ht="14.25" customHeight="1">
      <c r="E927" s="22"/>
      <c r="G927" s="4"/>
    </row>
    <row r="928" ht="14.25" customHeight="1">
      <c r="E928" s="22"/>
      <c r="G928" s="4"/>
    </row>
    <row r="929" ht="14.25" customHeight="1">
      <c r="E929" s="22"/>
      <c r="G929" s="4"/>
    </row>
    <row r="930" ht="14.25" customHeight="1">
      <c r="E930" s="22"/>
      <c r="G930" s="4"/>
    </row>
    <row r="931" ht="14.25" customHeight="1">
      <c r="E931" s="22"/>
      <c r="G931" s="4"/>
    </row>
    <row r="932" ht="14.25" customHeight="1">
      <c r="E932" s="22"/>
      <c r="G932" s="4"/>
    </row>
    <row r="933" ht="14.25" customHeight="1">
      <c r="E933" s="22"/>
      <c r="G933" s="4"/>
    </row>
    <row r="934" ht="14.25" customHeight="1">
      <c r="E934" s="22"/>
      <c r="G934" s="4"/>
    </row>
    <row r="935" ht="14.25" customHeight="1">
      <c r="E935" s="22"/>
      <c r="G935" s="4"/>
    </row>
    <row r="936" ht="14.25" customHeight="1">
      <c r="E936" s="22"/>
      <c r="G936" s="4"/>
    </row>
    <row r="937" ht="14.25" customHeight="1">
      <c r="E937" s="22"/>
      <c r="G937" s="4"/>
    </row>
    <row r="938" ht="14.25" customHeight="1">
      <c r="E938" s="22"/>
      <c r="G938" s="4"/>
    </row>
    <row r="939" ht="14.25" customHeight="1">
      <c r="E939" s="22"/>
      <c r="G939" s="4"/>
    </row>
    <row r="940" ht="14.25" customHeight="1">
      <c r="E940" s="22"/>
      <c r="G940" s="4"/>
    </row>
    <row r="941" ht="14.25" customHeight="1">
      <c r="E941" s="22"/>
      <c r="G941" s="4"/>
    </row>
    <row r="942" ht="14.25" customHeight="1">
      <c r="E942" s="22"/>
      <c r="G942" s="4"/>
    </row>
    <row r="943" ht="14.25" customHeight="1">
      <c r="E943" s="22"/>
      <c r="G943" s="4"/>
    </row>
    <row r="944" ht="14.25" customHeight="1">
      <c r="E944" s="22"/>
      <c r="G944" s="4"/>
    </row>
    <row r="945" ht="14.25" customHeight="1">
      <c r="E945" s="22"/>
      <c r="G945" s="4"/>
    </row>
    <row r="946" ht="14.25" customHeight="1">
      <c r="E946" s="22"/>
      <c r="G946" s="4"/>
    </row>
    <row r="947" ht="14.25" customHeight="1">
      <c r="E947" s="22"/>
      <c r="G947" s="4"/>
    </row>
    <row r="948" ht="14.25" customHeight="1">
      <c r="E948" s="22"/>
      <c r="G948" s="4"/>
    </row>
    <row r="949" ht="14.25" customHeight="1">
      <c r="E949" s="22"/>
      <c r="G949" s="4"/>
    </row>
    <row r="950" ht="14.25" customHeight="1">
      <c r="E950" s="22"/>
      <c r="G950" s="4"/>
    </row>
    <row r="951" ht="14.25" customHeight="1">
      <c r="E951" s="22"/>
      <c r="G951" s="4"/>
    </row>
    <row r="952" ht="14.25" customHeight="1">
      <c r="E952" s="22"/>
      <c r="G952" s="4"/>
    </row>
    <row r="953" ht="14.25" customHeight="1">
      <c r="E953" s="22"/>
      <c r="G953" s="4"/>
    </row>
    <row r="954" ht="14.25" customHeight="1">
      <c r="E954" s="22"/>
      <c r="G954" s="4"/>
    </row>
    <row r="955" ht="14.25" customHeight="1">
      <c r="E955" s="22"/>
      <c r="G955" s="4"/>
    </row>
    <row r="956" ht="14.25" customHeight="1">
      <c r="E956" s="22"/>
      <c r="G956" s="4"/>
    </row>
    <row r="957" ht="14.25" customHeight="1">
      <c r="E957" s="22"/>
      <c r="G957" s="4"/>
    </row>
    <row r="958" ht="14.25" customHeight="1">
      <c r="E958" s="22"/>
      <c r="G958" s="4"/>
    </row>
    <row r="959" ht="14.25" customHeight="1">
      <c r="E959" s="22"/>
      <c r="G959" s="4"/>
    </row>
    <row r="960" ht="14.25" customHeight="1">
      <c r="E960" s="22"/>
      <c r="G960" s="4"/>
    </row>
    <row r="961" ht="14.25" customHeight="1">
      <c r="E961" s="22"/>
      <c r="G961" s="4"/>
    </row>
    <row r="962" ht="14.25" customHeight="1">
      <c r="E962" s="22"/>
      <c r="G962" s="4"/>
    </row>
    <row r="963" ht="14.25" customHeight="1">
      <c r="E963" s="22"/>
      <c r="G963" s="4"/>
    </row>
    <row r="964" ht="14.25" customHeight="1">
      <c r="E964" s="22"/>
      <c r="G964" s="4"/>
    </row>
    <row r="965" ht="14.25" customHeight="1">
      <c r="E965" s="22"/>
      <c r="G965" s="4"/>
    </row>
    <row r="966" ht="14.25" customHeight="1">
      <c r="E966" s="22"/>
      <c r="G966" s="4"/>
    </row>
    <row r="967" ht="14.25" customHeight="1">
      <c r="E967" s="22"/>
      <c r="G967" s="4"/>
    </row>
    <row r="968" ht="14.25" customHeight="1">
      <c r="E968" s="22"/>
      <c r="G968" s="4"/>
    </row>
    <row r="969" ht="14.25" customHeight="1">
      <c r="E969" s="22"/>
      <c r="G969" s="4"/>
    </row>
    <row r="970" ht="14.25" customHeight="1">
      <c r="E970" s="22"/>
      <c r="G970" s="4"/>
    </row>
    <row r="971" ht="14.25" customHeight="1">
      <c r="E971" s="22"/>
      <c r="G971" s="4"/>
    </row>
    <row r="972" ht="14.25" customHeight="1">
      <c r="E972" s="22"/>
      <c r="G972" s="4"/>
    </row>
    <row r="973" ht="14.25" customHeight="1">
      <c r="E973" s="22"/>
      <c r="G973" s="4"/>
    </row>
    <row r="974" ht="14.25" customHeight="1">
      <c r="E974" s="22"/>
      <c r="G974" s="4"/>
    </row>
    <row r="975" ht="14.25" customHeight="1">
      <c r="E975" s="22"/>
      <c r="G975" s="4"/>
    </row>
    <row r="976" ht="14.25" customHeight="1">
      <c r="E976" s="22"/>
      <c r="G976" s="4"/>
    </row>
    <row r="977" ht="14.25" customHeight="1">
      <c r="E977" s="22"/>
      <c r="G977" s="4"/>
    </row>
    <row r="978" ht="14.25" customHeight="1">
      <c r="E978" s="22"/>
      <c r="G978" s="4"/>
    </row>
    <row r="979" ht="14.25" customHeight="1">
      <c r="E979" s="22"/>
      <c r="G979" s="4"/>
    </row>
    <row r="980" ht="14.25" customHeight="1">
      <c r="E980" s="22"/>
      <c r="G980" s="4"/>
    </row>
    <row r="981" ht="14.25" customHeight="1">
      <c r="E981" s="22"/>
      <c r="G981" s="4"/>
    </row>
    <row r="982" ht="14.25" customHeight="1">
      <c r="E982" s="22"/>
      <c r="G982" s="4"/>
    </row>
    <row r="983" ht="14.25" customHeight="1">
      <c r="E983" s="22"/>
      <c r="G983" s="4"/>
    </row>
    <row r="984" ht="14.25" customHeight="1">
      <c r="E984" s="22"/>
      <c r="G984" s="4"/>
    </row>
    <row r="985" ht="14.25" customHeight="1">
      <c r="E985" s="22"/>
      <c r="G985" s="4"/>
    </row>
    <row r="986" ht="14.25" customHeight="1">
      <c r="E986" s="22"/>
      <c r="G986" s="4"/>
    </row>
    <row r="987" ht="14.25" customHeight="1">
      <c r="E987" s="22"/>
      <c r="G987" s="4"/>
    </row>
    <row r="988" ht="14.25" customHeight="1">
      <c r="E988" s="22"/>
      <c r="G988" s="4"/>
    </row>
    <row r="989" ht="14.25" customHeight="1">
      <c r="E989" s="22"/>
      <c r="G989" s="4"/>
    </row>
    <row r="990" ht="14.25" customHeight="1">
      <c r="E990" s="22"/>
      <c r="G990" s="4"/>
    </row>
    <row r="991" ht="14.25" customHeight="1">
      <c r="E991" s="22"/>
      <c r="G991" s="4"/>
    </row>
    <row r="992" ht="14.25" customHeight="1">
      <c r="E992" s="22"/>
      <c r="G992" s="4"/>
    </row>
    <row r="993" ht="14.25" customHeight="1">
      <c r="E993" s="22"/>
      <c r="G993" s="4"/>
    </row>
    <row r="994" ht="14.25" customHeight="1">
      <c r="E994" s="22"/>
      <c r="G994" s="4"/>
    </row>
    <row r="995" ht="14.25" customHeight="1">
      <c r="E995" s="22"/>
      <c r="G995" s="4"/>
    </row>
    <row r="996" ht="14.25" customHeight="1">
      <c r="E996" s="22"/>
      <c r="G996" s="4"/>
    </row>
    <row r="997" ht="14.25" customHeight="1">
      <c r="E997" s="22"/>
      <c r="G997" s="4"/>
    </row>
    <row r="998" ht="14.25" customHeight="1">
      <c r="E998" s="22"/>
      <c r="G998" s="4"/>
    </row>
    <row r="999" ht="14.25" customHeight="1">
      <c r="E999" s="22"/>
      <c r="G999" s="4"/>
    </row>
    <row r="1000" ht="14.25" customHeight="1">
      <c r="E1000" s="22"/>
      <c r="G1000" s="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4" max="4" width="26.71"/>
    <col customWidth="1" min="5" max="5" width="117.57"/>
    <col customWidth="1" min="6" max="6" width="55.29"/>
    <col customWidth="1" min="7" max="7" width="66.86"/>
    <col customWidth="1" min="8" max="8" width="21.14"/>
    <col customWidth="1" min="9" max="9" width="110.71"/>
    <col customWidth="1" min="10" max="10" width="24.0"/>
    <col customWidth="1" min="11" max="11" width="56.0"/>
    <col customWidth="1" min="12" max="12" width="33.29"/>
    <col customWidth="1" min="13" max="13" width="22.14"/>
    <col customWidth="1" min="14" max="14" width="20.0"/>
  </cols>
  <sheetData>
    <row r="1">
      <c r="A1" s="1" t="s">
        <v>0</v>
      </c>
      <c r="B1" s="1" t="s">
        <v>112</v>
      </c>
      <c r="C1" s="1" t="s">
        <v>652</v>
      </c>
      <c r="D1" s="1" t="s">
        <v>114</v>
      </c>
      <c r="E1" s="1" t="s">
        <v>116</v>
      </c>
      <c r="F1" s="2" t="s">
        <v>653</v>
      </c>
      <c r="G1" s="2" t="s">
        <v>654</v>
      </c>
      <c r="H1" s="2" t="s">
        <v>655</v>
      </c>
      <c r="I1" s="2" t="s">
        <v>656</v>
      </c>
      <c r="J1" s="2" t="s">
        <v>657</v>
      </c>
      <c r="K1" s="2" t="s">
        <v>658</v>
      </c>
      <c r="L1" s="2" t="s">
        <v>659</v>
      </c>
      <c r="M1" s="2" t="s">
        <v>660</v>
      </c>
      <c r="N1" s="2" t="s">
        <v>661</v>
      </c>
      <c r="O1" s="2" t="s">
        <v>662</v>
      </c>
    </row>
    <row r="2">
      <c r="A2" s="12" t="s">
        <v>8</v>
      </c>
      <c r="B2" s="12" t="s">
        <v>118</v>
      </c>
      <c r="C2" s="13">
        <v>1.0</v>
      </c>
      <c r="D2" s="13" t="s">
        <v>119</v>
      </c>
      <c r="E2" s="12" t="s">
        <v>121</v>
      </c>
      <c r="F2" s="5" t="s">
        <v>663</v>
      </c>
      <c r="G2" s="5" t="s">
        <v>285</v>
      </c>
      <c r="H2" s="5" t="s">
        <v>664</v>
      </c>
      <c r="I2" s="5" t="s">
        <v>665</v>
      </c>
      <c r="J2" s="5" t="s">
        <v>666</v>
      </c>
      <c r="K2" s="5" t="s">
        <v>667</v>
      </c>
      <c r="L2" s="23" t="s">
        <v>668</v>
      </c>
      <c r="M2" s="24" t="s">
        <v>669</v>
      </c>
      <c r="N2" s="5" t="s">
        <v>670</v>
      </c>
      <c r="O2" s="23" t="s">
        <v>671</v>
      </c>
    </row>
    <row r="3">
      <c r="A3" s="12" t="s">
        <v>8</v>
      </c>
      <c r="B3" s="12" t="s">
        <v>122</v>
      </c>
      <c r="C3" s="13">
        <v>2.0</v>
      </c>
      <c r="D3" s="13" t="s">
        <v>123</v>
      </c>
      <c r="E3" s="12" t="s">
        <v>125</v>
      </c>
      <c r="F3" s="5" t="s">
        <v>672</v>
      </c>
      <c r="G3" s="5" t="s">
        <v>286</v>
      </c>
      <c r="H3" s="5" t="s">
        <v>664</v>
      </c>
      <c r="I3" s="25" t="s">
        <v>673</v>
      </c>
      <c r="J3" s="5" t="s">
        <v>674</v>
      </c>
      <c r="K3" s="5" t="s">
        <v>124</v>
      </c>
      <c r="L3" s="23" t="s">
        <v>675</v>
      </c>
      <c r="M3" s="24" t="s">
        <v>669</v>
      </c>
    </row>
    <row r="4">
      <c r="A4" s="12" t="s">
        <v>8</v>
      </c>
      <c r="B4" s="12" t="s">
        <v>126</v>
      </c>
      <c r="C4" s="13">
        <v>3.0</v>
      </c>
      <c r="D4" s="13" t="s">
        <v>127</v>
      </c>
      <c r="E4" s="12" t="s">
        <v>129</v>
      </c>
      <c r="F4" s="5" t="s">
        <v>676</v>
      </c>
      <c r="G4" s="5" t="s">
        <v>677</v>
      </c>
      <c r="H4" s="5" t="s">
        <v>664</v>
      </c>
      <c r="I4" s="25" t="s">
        <v>673</v>
      </c>
      <c r="J4" s="5" t="s">
        <v>674</v>
      </c>
      <c r="K4" s="5" t="s">
        <v>678</v>
      </c>
      <c r="L4" s="23" t="s">
        <v>679</v>
      </c>
      <c r="M4" s="24" t="s">
        <v>669</v>
      </c>
    </row>
    <row r="5">
      <c r="A5" s="12" t="s">
        <v>8</v>
      </c>
      <c r="B5" s="12" t="s">
        <v>130</v>
      </c>
      <c r="C5" s="13">
        <v>4.0</v>
      </c>
      <c r="D5" s="13" t="s">
        <v>131</v>
      </c>
      <c r="E5" s="12" t="s">
        <v>133</v>
      </c>
      <c r="F5" s="5" t="s">
        <v>680</v>
      </c>
      <c r="G5" s="5" t="s">
        <v>289</v>
      </c>
      <c r="H5" s="5" t="s">
        <v>664</v>
      </c>
      <c r="I5" s="25" t="s">
        <v>673</v>
      </c>
      <c r="J5" s="5" t="s">
        <v>674</v>
      </c>
      <c r="K5" s="5" t="s">
        <v>678</v>
      </c>
      <c r="L5" s="23" t="s">
        <v>679</v>
      </c>
      <c r="M5" s="24" t="s">
        <v>669</v>
      </c>
    </row>
    <row r="6">
      <c r="A6" s="12" t="s">
        <v>8</v>
      </c>
      <c r="B6" s="12" t="s">
        <v>137</v>
      </c>
      <c r="C6" s="13">
        <v>5.0</v>
      </c>
      <c r="D6" s="13" t="s">
        <v>138</v>
      </c>
      <c r="E6" s="12" t="s">
        <v>140</v>
      </c>
      <c r="F6" s="5" t="s">
        <v>681</v>
      </c>
      <c r="G6" s="5" t="s">
        <v>682</v>
      </c>
      <c r="H6" s="5" t="s">
        <v>664</v>
      </c>
      <c r="I6" s="25" t="s">
        <v>673</v>
      </c>
      <c r="J6" s="5" t="s">
        <v>674</v>
      </c>
      <c r="K6" s="5" t="s">
        <v>683</v>
      </c>
      <c r="L6" s="23" t="s">
        <v>684</v>
      </c>
      <c r="M6" s="24" t="s">
        <v>669</v>
      </c>
    </row>
    <row r="7">
      <c r="A7" s="12" t="s">
        <v>8</v>
      </c>
      <c r="B7" s="12" t="s">
        <v>141</v>
      </c>
      <c r="C7" s="13">
        <v>6.0</v>
      </c>
      <c r="D7" s="13" t="s">
        <v>142</v>
      </c>
      <c r="E7" s="12" t="s">
        <v>144</v>
      </c>
      <c r="F7" s="5" t="s">
        <v>685</v>
      </c>
      <c r="G7" s="5" t="s">
        <v>292</v>
      </c>
      <c r="H7" s="5" t="s">
        <v>664</v>
      </c>
      <c r="I7" s="25" t="s">
        <v>673</v>
      </c>
      <c r="J7" s="5" t="s">
        <v>674</v>
      </c>
      <c r="K7" s="5" t="s">
        <v>683</v>
      </c>
      <c r="L7" s="23" t="s">
        <v>684</v>
      </c>
      <c r="M7" s="24" t="s">
        <v>669</v>
      </c>
    </row>
    <row r="8">
      <c r="A8" s="12" t="s">
        <v>8</v>
      </c>
      <c r="B8" s="12" t="s">
        <v>145</v>
      </c>
      <c r="C8" s="13">
        <v>7.0</v>
      </c>
      <c r="D8" s="13" t="s">
        <v>146</v>
      </c>
      <c r="E8" s="12" t="s">
        <v>148</v>
      </c>
      <c r="F8" s="5" t="s">
        <v>686</v>
      </c>
      <c r="G8" s="5" t="s">
        <v>687</v>
      </c>
      <c r="H8" s="5" t="s">
        <v>664</v>
      </c>
      <c r="I8" s="25" t="s">
        <v>673</v>
      </c>
      <c r="J8" s="5" t="s">
        <v>674</v>
      </c>
      <c r="K8" s="5" t="s">
        <v>688</v>
      </c>
      <c r="L8" s="23" t="s">
        <v>689</v>
      </c>
      <c r="M8" s="24" t="s">
        <v>669</v>
      </c>
    </row>
    <row r="9">
      <c r="A9" s="12" t="s">
        <v>8</v>
      </c>
      <c r="B9" s="12" t="s">
        <v>149</v>
      </c>
      <c r="C9" s="13">
        <v>8.0</v>
      </c>
      <c r="D9" s="13" t="s">
        <v>150</v>
      </c>
      <c r="E9" s="12" t="s">
        <v>152</v>
      </c>
      <c r="F9" s="5" t="s">
        <v>690</v>
      </c>
      <c r="G9" s="5" t="s">
        <v>295</v>
      </c>
      <c r="H9" s="5" t="s">
        <v>664</v>
      </c>
      <c r="I9" s="25" t="s">
        <v>673</v>
      </c>
      <c r="J9" s="5" t="s">
        <v>674</v>
      </c>
      <c r="K9" s="5" t="s">
        <v>683</v>
      </c>
      <c r="L9" s="23" t="s">
        <v>691</v>
      </c>
      <c r="M9" s="24" t="s">
        <v>669</v>
      </c>
    </row>
    <row r="10">
      <c r="A10" s="12" t="s">
        <v>8</v>
      </c>
      <c r="B10" s="12" t="s">
        <v>156</v>
      </c>
      <c r="C10" s="13">
        <v>9.0</v>
      </c>
      <c r="D10" s="13" t="s">
        <v>157</v>
      </c>
      <c r="E10" s="12" t="s">
        <v>159</v>
      </c>
      <c r="F10" s="5" t="s">
        <v>692</v>
      </c>
      <c r="G10" s="5" t="s">
        <v>693</v>
      </c>
      <c r="H10" s="5" t="s">
        <v>664</v>
      </c>
      <c r="I10" s="25" t="s">
        <v>673</v>
      </c>
      <c r="J10" s="5" t="s">
        <v>674</v>
      </c>
      <c r="K10" s="5" t="s">
        <v>694</v>
      </c>
      <c r="L10" s="23" t="s">
        <v>695</v>
      </c>
      <c r="M10" s="24" t="s">
        <v>669</v>
      </c>
    </row>
    <row r="11">
      <c r="A11" s="12" t="s">
        <v>8</v>
      </c>
      <c r="B11" s="12" t="s">
        <v>160</v>
      </c>
      <c r="C11" s="13">
        <v>10.0</v>
      </c>
      <c r="D11" s="13" t="s">
        <v>161</v>
      </c>
      <c r="E11" s="12" t="s">
        <v>163</v>
      </c>
      <c r="F11" s="5" t="s">
        <v>696</v>
      </c>
      <c r="G11" s="5" t="s">
        <v>697</v>
      </c>
      <c r="H11" s="5" t="s">
        <v>664</v>
      </c>
      <c r="I11" s="25" t="s">
        <v>673</v>
      </c>
      <c r="J11" s="5" t="s">
        <v>674</v>
      </c>
      <c r="K11" s="5" t="s">
        <v>694</v>
      </c>
      <c r="L11" s="23" t="s">
        <v>698</v>
      </c>
      <c r="M11" s="24" t="s">
        <v>669</v>
      </c>
    </row>
    <row r="12">
      <c r="A12" s="12" t="s">
        <v>8</v>
      </c>
      <c r="B12" s="12" t="s">
        <v>164</v>
      </c>
      <c r="C12" s="13">
        <v>11.0</v>
      </c>
      <c r="D12" s="13" t="s">
        <v>165</v>
      </c>
      <c r="E12" s="12" t="s">
        <v>167</v>
      </c>
      <c r="F12" s="5" t="s">
        <v>699</v>
      </c>
      <c r="G12" s="5" t="s">
        <v>700</v>
      </c>
      <c r="H12" s="5" t="s">
        <v>664</v>
      </c>
      <c r="I12" s="25" t="s">
        <v>673</v>
      </c>
      <c r="J12" s="5" t="s">
        <v>674</v>
      </c>
      <c r="K12" s="5" t="s">
        <v>694</v>
      </c>
      <c r="L12" s="23" t="s">
        <v>701</v>
      </c>
      <c r="M12" s="24" t="s">
        <v>669</v>
      </c>
    </row>
    <row r="13">
      <c r="A13" s="12" t="s">
        <v>8</v>
      </c>
      <c r="B13" s="12" t="s">
        <v>168</v>
      </c>
      <c r="C13" s="13">
        <v>12.0</v>
      </c>
      <c r="D13" s="13" t="s">
        <v>169</v>
      </c>
      <c r="E13" s="12" t="s">
        <v>171</v>
      </c>
      <c r="F13" s="5" t="s">
        <v>702</v>
      </c>
      <c r="G13" s="5" t="s">
        <v>703</v>
      </c>
      <c r="H13" s="5" t="s">
        <v>664</v>
      </c>
      <c r="I13" s="25" t="s">
        <v>673</v>
      </c>
      <c r="J13" s="5" t="s">
        <v>674</v>
      </c>
      <c r="K13" s="5" t="s">
        <v>694</v>
      </c>
      <c r="L13" s="7" t="s">
        <v>704</v>
      </c>
      <c r="M13" s="24" t="s">
        <v>669</v>
      </c>
    </row>
    <row r="14">
      <c r="A14" s="12" t="s">
        <v>8</v>
      </c>
      <c r="B14" s="12" t="s">
        <v>172</v>
      </c>
      <c r="C14" s="13">
        <v>13.0</v>
      </c>
      <c r="D14" s="13" t="s">
        <v>173</v>
      </c>
      <c r="E14" s="12" t="s">
        <v>175</v>
      </c>
      <c r="F14" s="5" t="s">
        <v>705</v>
      </c>
      <c r="G14" s="5" t="s">
        <v>706</v>
      </c>
      <c r="H14" s="5" t="s">
        <v>664</v>
      </c>
      <c r="I14" s="25" t="s">
        <v>673</v>
      </c>
      <c r="J14" s="5" t="s">
        <v>674</v>
      </c>
      <c r="K14" s="26"/>
      <c r="L14" s="26"/>
      <c r="M14" s="24" t="s">
        <v>669</v>
      </c>
    </row>
    <row r="15">
      <c r="A15" s="4" t="s">
        <v>50</v>
      </c>
      <c r="B15" s="4" t="s">
        <v>275</v>
      </c>
      <c r="C15" s="5">
        <v>14.0</v>
      </c>
      <c r="D15" s="5" t="s">
        <v>276</v>
      </c>
      <c r="E15" s="5" t="s">
        <v>278</v>
      </c>
      <c r="F15" s="5" t="s">
        <v>707</v>
      </c>
      <c r="G15" s="5" t="s">
        <v>708</v>
      </c>
      <c r="H15" s="5" t="s">
        <v>664</v>
      </c>
      <c r="I15" s="25" t="s">
        <v>673</v>
      </c>
      <c r="J15" s="5" t="s">
        <v>674</v>
      </c>
      <c r="K15" s="27" t="s">
        <v>709</v>
      </c>
      <c r="L15" s="26"/>
      <c r="M15" s="24" t="s">
        <v>669</v>
      </c>
    </row>
  </sheetData>
  <hyperlinks>
    <hyperlink r:id="rId4" ref="L2"/>
    <hyperlink r:id="rId5" ref="O2"/>
    <hyperlink r:id="rId6" ref="L3"/>
    <hyperlink r:id="rId7" ref="L4"/>
    <hyperlink r:id="rId8" ref="L5"/>
    <hyperlink r:id="rId9" ref="L6"/>
    <hyperlink r:id="rId10" ref="L7"/>
    <hyperlink r:id="rId11" ref="L8"/>
    <hyperlink r:id="rId12" ref="L9"/>
    <hyperlink r:id="rId13" ref="L10"/>
    <hyperlink r:id="rId14" ref="L11"/>
    <hyperlink r:id="rId15" ref="L12"/>
    <hyperlink r:id="rId16" ref="L13"/>
  </hyperlinks>
  <drawing r:id="rId17"/>
  <legacyDrawing r:id="rId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29.43"/>
  </cols>
  <sheetData>
    <row r="1">
      <c r="A1" s="1" t="s">
        <v>0</v>
      </c>
      <c r="B1" s="1" t="s">
        <v>112</v>
      </c>
      <c r="C1" s="1" t="s">
        <v>115</v>
      </c>
      <c r="D1" s="1" t="s">
        <v>710</v>
      </c>
      <c r="E1" s="1" t="s">
        <v>711</v>
      </c>
      <c r="F1" s="1" t="s">
        <v>712</v>
      </c>
      <c r="G1" s="2" t="s">
        <v>713</v>
      </c>
      <c r="H1" s="2" t="s">
        <v>714</v>
      </c>
      <c r="I1" s="2" t="s">
        <v>715</v>
      </c>
      <c r="J1" s="2" t="s">
        <v>716</v>
      </c>
      <c r="K1" s="5" t="s">
        <v>717</v>
      </c>
    </row>
    <row r="2">
      <c r="A2" s="28" t="s">
        <v>8</v>
      </c>
      <c r="B2" s="28" t="s">
        <v>118</v>
      </c>
      <c r="C2" s="29" t="s">
        <v>120</v>
      </c>
      <c r="D2" s="29">
        <v>2024.0</v>
      </c>
      <c r="E2" s="29">
        <v>87.0</v>
      </c>
      <c r="F2" s="28"/>
      <c r="G2" s="13">
        <v>100.0</v>
      </c>
      <c r="H2" s="12">
        <f t="shared" ref="H2:H81" si="1">IF(D2 = MAXIFS($D:$D, $B:$B, B2, $E:$E, "&lt;&gt;"), 1, 0)</f>
        <v>0</v>
      </c>
      <c r="I2" s="13" t="s">
        <v>718</v>
      </c>
      <c r="J2" s="12"/>
      <c r="K2" s="13"/>
      <c r="L2" s="12"/>
      <c r="M2" s="12"/>
      <c r="N2" s="12"/>
      <c r="O2" s="12"/>
      <c r="P2" s="12"/>
      <c r="Q2" s="12"/>
      <c r="R2" s="12"/>
      <c r="S2" s="12"/>
      <c r="T2" s="12"/>
      <c r="U2" s="12"/>
      <c r="V2" s="12"/>
      <c r="W2" s="12"/>
      <c r="X2" s="12"/>
      <c r="Y2" s="12"/>
      <c r="Z2" s="12"/>
      <c r="AA2" s="12"/>
      <c r="AB2" s="12"/>
      <c r="AC2" s="12"/>
      <c r="AD2" s="12"/>
    </row>
    <row r="3">
      <c r="A3" s="28" t="s">
        <v>8</v>
      </c>
      <c r="B3" s="28" t="s">
        <v>118</v>
      </c>
      <c r="C3" s="29" t="s">
        <v>120</v>
      </c>
      <c r="D3" s="29">
        <v>2025.0</v>
      </c>
      <c r="E3" s="29">
        <v>87.7</v>
      </c>
      <c r="F3" s="28"/>
      <c r="G3" s="13">
        <v>100.0</v>
      </c>
      <c r="H3" s="12">
        <f t="shared" si="1"/>
        <v>1</v>
      </c>
      <c r="I3" s="13" t="s">
        <v>718</v>
      </c>
      <c r="J3" s="12"/>
      <c r="K3" s="13" t="s">
        <v>719</v>
      </c>
      <c r="L3" s="12"/>
      <c r="M3" s="12"/>
      <c r="N3" s="12"/>
      <c r="O3" s="12"/>
      <c r="P3" s="12"/>
      <c r="Q3" s="12"/>
      <c r="R3" s="12"/>
      <c r="S3" s="12"/>
      <c r="T3" s="12"/>
      <c r="U3" s="12"/>
      <c r="V3" s="12"/>
      <c r="W3" s="12"/>
      <c r="X3" s="12"/>
      <c r="Y3" s="12"/>
      <c r="Z3" s="12"/>
      <c r="AA3" s="12"/>
      <c r="AB3" s="12"/>
      <c r="AC3" s="12"/>
      <c r="AD3" s="12"/>
    </row>
    <row r="4">
      <c r="A4" s="28" t="s">
        <v>8</v>
      </c>
      <c r="B4" s="28" t="s">
        <v>118</v>
      </c>
      <c r="C4" s="29" t="s">
        <v>120</v>
      </c>
      <c r="D4" s="29">
        <v>2026.0</v>
      </c>
      <c r="E4" s="28"/>
      <c r="F4" s="29">
        <v>88.0</v>
      </c>
      <c r="G4" s="13">
        <v>100.0</v>
      </c>
      <c r="H4" s="12">
        <f t="shared" si="1"/>
        <v>0</v>
      </c>
      <c r="I4" s="13" t="s">
        <v>718</v>
      </c>
      <c r="J4" s="12"/>
      <c r="K4" s="12"/>
      <c r="L4" s="12"/>
      <c r="M4" s="12"/>
      <c r="N4" s="12"/>
      <c r="O4" s="12"/>
      <c r="P4" s="12"/>
      <c r="Q4" s="12"/>
      <c r="R4" s="12"/>
      <c r="S4" s="12"/>
      <c r="T4" s="12"/>
      <c r="U4" s="12"/>
      <c r="V4" s="12"/>
      <c r="W4" s="12"/>
      <c r="X4" s="12"/>
      <c r="Y4" s="12"/>
      <c r="Z4" s="12"/>
      <c r="AA4" s="12"/>
      <c r="AB4" s="12"/>
      <c r="AC4" s="12"/>
      <c r="AD4" s="12"/>
    </row>
    <row r="5">
      <c r="A5" s="28" t="s">
        <v>8</v>
      </c>
      <c r="B5" s="28" t="s">
        <v>118</v>
      </c>
      <c r="C5" s="29" t="s">
        <v>120</v>
      </c>
      <c r="D5" s="29">
        <v>2027.0</v>
      </c>
      <c r="E5" s="28"/>
      <c r="F5" s="29">
        <v>89.0</v>
      </c>
      <c r="G5" s="13">
        <v>100.0</v>
      </c>
      <c r="H5" s="12">
        <f t="shared" si="1"/>
        <v>0</v>
      </c>
      <c r="I5" s="13" t="s">
        <v>718</v>
      </c>
      <c r="J5" s="12"/>
      <c r="K5" s="12"/>
      <c r="L5" s="12"/>
      <c r="M5" s="12"/>
      <c r="N5" s="12"/>
      <c r="O5" s="12"/>
      <c r="P5" s="12"/>
      <c r="Q5" s="12"/>
      <c r="R5" s="12"/>
      <c r="S5" s="12"/>
      <c r="T5" s="12"/>
      <c r="U5" s="12"/>
      <c r="V5" s="12"/>
      <c r="W5" s="12"/>
      <c r="X5" s="12"/>
      <c r="Y5" s="12"/>
      <c r="Z5" s="12"/>
      <c r="AA5" s="12"/>
      <c r="AB5" s="12"/>
      <c r="AC5" s="12"/>
      <c r="AD5" s="12"/>
    </row>
    <row r="6">
      <c r="A6" s="28" t="s">
        <v>8</v>
      </c>
      <c r="B6" s="28" t="s">
        <v>118</v>
      </c>
      <c r="C6" s="29" t="s">
        <v>120</v>
      </c>
      <c r="D6" s="29">
        <v>2028.0</v>
      </c>
      <c r="E6" s="28"/>
      <c r="F6" s="29">
        <v>90.0</v>
      </c>
      <c r="G6" s="13">
        <v>100.0</v>
      </c>
      <c r="H6" s="12">
        <f t="shared" si="1"/>
        <v>0</v>
      </c>
      <c r="I6" s="13" t="s">
        <v>718</v>
      </c>
      <c r="J6" s="12"/>
      <c r="K6" s="12"/>
      <c r="L6" s="12"/>
      <c r="M6" s="12"/>
      <c r="N6" s="12"/>
      <c r="O6" s="12"/>
      <c r="P6" s="12"/>
      <c r="Q6" s="12"/>
      <c r="R6" s="12"/>
      <c r="S6" s="12"/>
      <c r="T6" s="12"/>
      <c r="U6" s="12"/>
      <c r="V6" s="12"/>
      <c r="W6" s="12"/>
      <c r="X6" s="12"/>
      <c r="Y6" s="12"/>
      <c r="Z6" s="12"/>
      <c r="AA6" s="12"/>
      <c r="AB6" s="12"/>
      <c r="AC6" s="12"/>
      <c r="AD6" s="12"/>
    </row>
    <row r="7">
      <c r="A7" s="28" t="s">
        <v>8</v>
      </c>
      <c r="B7" s="28" t="s">
        <v>118</v>
      </c>
      <c r="C7" s="29" t="s">
        <v>120</v>
      </c>
      <c r="D7" s="29">
        <v>2029.0</v>
      </c>
      <c r="E7" s="28"/>
      <c r="F7" s="29">
        <v>91.0</v>
      </c>
      <c r="G7" s="13">
        <v>100.0</v>
      </c>
      <c r="H7" s="12">
        <f t="shared" si="1"/>
        <v>0</v>
      </c>
      <c r="I7" s="13" t="s">
        <v>718</v>
      </c>
      <c r="J7" s="12"/>
      <c r="K7" s="12"/>
      <c r="L7" s="12"/>
      <c r="M7" s="12"/>
      <c r="N7" s="12"/>
      <c r="O7" s="12"/>
      <c r="P7" s="12"/>
      <c r="Q7" s="12"/>
      <c r="R7" s="12"/>
      <c r="S7" s="12"/>
      <c r="T7" s="12"/>
      <c r="U7" s="12"/>
      <c r="V7" s="12"/>
      <c r="W7" s="12"/>
      <c r="X7" s="12"/>
      <c r="Y7" s="12"/>
      <c r="Z7" s="12"/>
      <c r="AA7" s="12"/>
      <c r="AB7" s="12"/>
      <c r="AC7" s="12"/>
      <c r="AD7" s="12"/>
    </row>
    <row r="8">
      <c r="A8" s="28" t="s">
        <v>8</v>
      </c>
      <c r="B8" s="28" t="s">
        <v>118</v>
      </c>
      <c r="C8" s="29" t="s">
        <v>120</v>
      </c>
      <c r="D8" s="29">
        <v>2030.0</v>
      </c>
      <c r="E8" s="28"/>
      <c r="F8" s="29">
        <v>92.0</v>
      </c>
      <c r="G8" s="13">
        <v>100.0</v>
      </c>
      <c r="H8" s="12">
        <f t="shared" si="1"/>
        <v>0</v>
      </c>
      <c r="I8" s="13" t="s">
        <v>718</v>
      </c>
      <c r="J8" s="12"/>
      <c r="K8" s="12"/>
      <c r="L8" s="12"/>
      <c r="M8" s="12"/>
      <c r="N8" s="12"/>
      <c r="O8" s="12"/>
      <c r="P8" s="12"/>
      <c r="Q8" s="12"/>
      <c r="R8" s="12"/>
      <c r="S8" s="12"/>
      <c r="T8" s="12"/>
      <c r="U8" s="12"/>
      <c r="V8" s="12"/>
      <c r="W8" s="12"/>
      <c r="X8" s="12"/>
      <c r="Y8" s="12"/>
      <c r="Z8" s="12"/>
      <c r="AA8" s="12"/>
      <c r="AB8" s="12"/>
      <c r="AC8" s="12"/>
      <c r="AD8" s="12"/>
    </row>
    <row r="9">
      <c r="A9" s="30" t="s">
        <v>8</v>
      </c>
      <c r="B9" s="30" t="s">
        <v>122</v>
      </c>
      <c r="C9" s="31" t="s">
        <v>720</v>
      </c>
      <c r="D9" s="31">
        <v>2024.0</v>
      </c>
      <c r="E9" s="31">
        <v>18.5</v>
      </c>
      <c r="F9" s="30"/>
      <c r="G9" s="4">
        <f t="shared" ref="G9:G74" si="2">MAX(MAXIFS(E:E, B:B, B9), MAXIFS(F:F, B:B, B9)) * 1.2</f>
        <v>24</v>
      </c>
      <c r="H9" s="12">
        <f t="shared" si="1"/>
        <v>1</v>
      </c>
      <c r="I9" s="5" t="s">
        <v>721</v>
      </c>
      <c r="K9" s="5"/>
      <c r="L9" s="5"/>
    </row>
    <row r="10">
      <c r="A10" s="30" t="s">
        <v>8</v>
      </c>
      <c r="B10" s="30" t="s">
        <v>122</v>
      </c>
      <c r="C10" s="31" t="s">
        <v>720</v>
      </c>
      <c r="D10" s="31">
        <v>2025.0</v>
      </c>
      <c r="E10" s="31"/>
      <c r="F10" s="30"/>
      <c r="G10" s="4">
        <f t="shared" si="2"/>
        <v>24</v>
      </c>
      <c r="H10" s="12">
        <f t="shared" si="1"/>
        <v>0</v>
      </c>
      <c r="I10" s="5" t="s">
        <v>721</v>
      </c>
      <c r="K10" s="5" t="s">
        <v>719</v>
      </c>
      <c r="L10" s="5" t="s">
        <v>722</v>
      </c>
    </row>
    <row r="11">
      <c r="A11" s="30" t="s">
        <v>8</v>
      </c>
      <c r="B11" s="30" t="s">
        <v>122</v>
      </c>
      <c r="C11" s="31" t="s">
        <v>720</v>
      </c>
      <c r="D11" s="31">
        <v>2026.0</v>
      </c>
      <c r="E11" s="30"/>
      <c r="F11" s="31">
        <v>18.8</v>
      </c>
      <c r="G11" s="4">
        <f t="shared" si="2"/>
        <v>24</v>
      </c>
      <c r="H11" s="12">
        <f t="shared" si="1"/>
        <v>0</v>
      </c>
      <c r="I11" s="5" t="s">
        <v>721</v>
      </c>
    </row>
    <row r="12">
      <c r="A12" s="30" t="s">
        <v>8</v>
      </c>
      <c r="B12" s="30" t="s">
        <v>122</v>
      </c>
      <c r="C12" s="31" t="s">
        <v>720</v>
      </c>
      <c r="D12" s="31">
        <v>2027.0</v>
      </c>
      <c r="E12" s="30"/>
      <c r="F12" s="31">
        <v>19.2</v>
      </c>
      <c r="G12" s="4">
        <f t="shared" si="2"/>
        <v>24</v>
      </c>
      <c r="H12" s="12">
        <f t="shared" si="1"/>
        <v>0</v>
      </c>
      <c r="I12" s="5" t="s">
        <v>721</v>
      </c>
    </row>
    <row r="13">
      <c r="A13" s="30" t="s">
        <v>8</v>
      </c>
      <c r="B13" s="30" t="s">
        <v>122</v>
      </c>
      <c r="C13" s="31" t="s">
        <v>720</v>
      </c>
      <c r="D13" s="31">
        <v>2028.0</v>
      </c>
      <c r="E13" s="30"/>
      <c r="F13" s="31">
        <v>19.5</v>
      </c>
      <c r="G13" s="4">
        <f t="shared" si="2"/>
        <v>24</v>
      </c>
      <c r="H13" s="12">
        <f t="shared" si="1"/>
        <v>0</v>
      </c>
      <c r="I13" s="5" t="s">
        <v>721</v>
      </c>
    </row>
    <row r="14">
      <c r="A14" s="30" t="s">
        <v>8</v>
      </c>
      <c r="B14" s="30" t="s">
        <v>122</v>
      </c>
      <c r="C14" s="31" t="s">
        <v>720</v>
      </c>
      <c r="D14" s="31">
        <v>2029.0</v>
      </c>
      <c r="E14" s="30"/>
      <c r="F14" s="31">
        <v>19.8</v>
      </c>
      <c r="G14" s="4">
        <f t="shared" si="2"/>
        <v>24</v>
      </c>
      <c r="H14" s="12">
        <f t="shared" si="1"/>
        <v>0</v>
      </c>
      <c r="I14" s="5" t="s">
        <v>721</v>
      </c>
    </row>
    <row r="15">
      <c r="A15" s="30" t="s">
        <v>8</v>
      </c>
      <c r="B15" s="30" t="s">
        <v>122</v>
      </c>
      <c r="C15" s="31" t="s">
        <v>720</v>
      </c>
      <c r="D15" s="31">
        <v>2030.0</v>
      </c>
      <c r="E15" s="30"/>
      <c r="F15" s="31">
        <v>20.0</v>
      </c>
      <c r="G15" s="4">
        <f t="shared" si="2"/>
        <v>24</v>
      </c>
      <c r="H15" s="12">
        <f t="shared" si="1"/>
        <v>0</v>
      </c>
      <c r="I15" s="5" t="s">
        <v>721</v>
      </c>
    </row>
    <row r="16">
      <c r="A16" s="28" t="s">
        <v>8</v>
      </c>
      <c r="B16" s="28" t="s">
        <v>126</v>
      </c>
      <c r="C16" s="29" t="s">
        <v>128</v>
      </c>
      <c r="D16" s="29">
        <v>2024.0</v>
      </c>
      <c r="E16" s="29">
        <v>21.5</v>
      </c>
      <c r="F16" s="29"/>
      <c r="G16" s="12">
        <f t="shared" si="2"/>
        <v>36</v>
      </c>
      <c r="H16" s="12">
        <f t="shared" si="1"/>
        <v>1</v>
      </c>
      <c r="I16" s="13" t="s">
        <v>718</v>
      </c>
      <c r="J16" s="12"/>
      <c r="K16" s="13"/>
      <c r="L16" s="12"/>
      <c r="M16" s="12"/>
      <c r="N16" s="12"/>
      <c r="O16" s="12"/>
      <c r="P16" s="12"/>
      <c r="Q16" s="12"/>
      <c r="R16" s="12"/>
      <c r="S16" s="12"/>
      <c r="T16" s="12"/>
      <c r="U16" s="12"/>
      <c r="V16" s="12"/>
      <c r="W16" s="12"/>
      <c r="X16" s="12"/>
      <c r="Y16" s="12"/>
      <c r="Z16" s="12"/>
      <c r="AA16" s="12"/>
      <c r="AB16" s="12"/>
      <c r="AC16" s="12"/>
      <c r="AD16" s="12"/>
    </row>
    <row r="17">
      <c r="A17" s="28" t="s">
        <v>8</v>
      </c>
      <c r="B17" s="28" t="s">
        <v>126</v>
      </c>
      <c r="C17" s="29" t="s">
        <v>128</v>
      </c>
      <c r="D17" s="29">
        <v>2025.0</v>
      </c>
      <c r="E17" s="28"/>
      <c r="F17" s="28"/>
      <c r="G17" s="12">
        <f t="shared" si="2"/>
        <v>36</v>
      </c>
      <c r="H17" s="12">
        <f t="shared" si="1"/>
        <v>0</v>
      </c>
      <c r="I17" s="13" t="s">
        <v>718</v>
      </c>
      <c r="J17" s="12"/>
      <c r="K17" s="13" t="s">
        <v>719</v>
      </c>
      <c r="L17" s="12"/>
      <c r="M17" s="12"/>
      <c r="N17" s="12"/>
      <c r="O17" s="12"/>
      <c r="P17" s="12"/>
      <c r="Q17" s="12"/>
      <c r="R17" s="12"/>
      <c r="S17" s="12"/>
      <c r="T17" s="12"/>
      <c r="U17" s="12"/>
      <c r="V17" s="12"/>
      <c r="W17" s="12"/>
      <c r="X17" s="12"/>
      <c r="Y17" s="12"/>
      <c r="Z17" s="12"/>
      <c r="AA17" s="12"/>
      <c r="AB17" s="12"/>
      <c r="AC17" s="12"/>
      <c r="AD17" s="12"/>
    </row>
    <row r="18">
      <c r="A18" s="28" t="s">
        <v>8</v>
      </c>
      <c r="B18" s="28" t="s">
        <v>126</v>
      </c>
      <c r="C18" s="29" t="s">
        <v>128</v>
      </c>
      <c r="D18" s="29">
        <v>2026.0</v>
      </c>
      <c r="E18" s="28"/>
      <c r="F18" s="29">
        <v>23.0</v>
      </c>
      <c r="G18" s="12">
        <f t="shared" si="2"/>
        <v>36</v>
      </c>
      <c r="H18" s="12">
        <f t="shared" si="1"/>
        <v>0</v>
      </c>
      <c r="I18" s="13" t="s">
        <v>718</v>
      </c>
      <c r="J18" s="12"/>
      <c r="K18" s="12"/>
      <c r="L18" s="12"/>
      <c r="M18" s="12"/>
      <c r="N18" s="12"/>
      <c r="O18" s="12"/>
      <c r="P18" s="12"/>
      <c r="Q18" s="12"/>
      <c r="R18" s="12"/>
      <c r="S18" s="12"/>
      <c r="T18" s="12"/>
      <c r="U18" s="12"/>
      <c r="V18" s="12"/>
      <c r="W18" s="12"/>
      <c r="X18" s="12"/>
      <c r="Y18" s="12"/>
      <c r="Z18" s="12"/>
      <c r="AA18" s="12"/>
      <c r="AB18" s="12"/>
      <c r="AC18" s="12"/>
      <c r="AD18" s="12"/>
    </row>
    <row r="19">
      <c r="A19" s="28" t="s">
        <v>8</v>
      </c>
      <c r="B19" s="28" t="s">
        <v>126</v>
      </c>
      <c r="C19" s="29" t="s">
        <v>128</v>
      </c>
      <c r="D19" s="29">
        <v>2027.0</v>
      </c>
      <c r="E19" s="28"/>
      <c r="F19" s="29">
        <v>25.0</v>
      </c>
      <c r="G19" s="12">
        <f t="shared" si="2"/>
        <v>36</v>
      </c>
      <c r="H19" s="12">
        <f t="shared" si="1"/>
        <v>0</v>
      </c>
      <c r="I19" s="13" t="s">
        <v>718</v>
      </c>
      <c r="J19" s="12"/>
      <c r="K19" s="12"/>
      <c r="L19" s="12"/>
      <c r="M19" s="12"/>
      <c r="N19" s="12"/>
      <c r="O19" s="12"/>
      <c r="P19" s="12"/>
      <c r="Q19" s="12"/>
      <c r="R19" s="12"/>
      <c r="S19" s="12"/>
      <c r="T19" s="12"/>
      <c r="U19" s="12"/>
      <c r="V19" s="12"/>
      <c r="W19" s="12"/>
      <c r="X19" s="12"/>
      <c r="Y19" s="12"/>
      <c r="Z19" s="12"/>
      <c r="AA19" s="12"/>
      <c r="AB19" s="12"/>
      <c r="AC19" s="12"/>
      <c r="AD19" s="12"/>
    </row>
    <row r="20">
      <c r="A20" s="28" t="s">
        <v>8</v>
      </c>
      <c r="B20" s="28" t="s">
        <v>126</v>
      </c>
      <c r="C20" s="29" t="s">
        <v>128</v>
      </c>
      <c r="D20" s="29">
        <v>2028.0</v>
      </c>
      <c r="E20" s="28"/>
      <c r="F20" s="29">
        <v>27.0</v>
      </c>
      <c r="G20" s="12">
        <f t="shared" si="2"/>
        <v>36</v>
      </c>
      <c r="H20" s="12">
        <f t="shared" si="1"/>
        <v>0</v>
      </c>
      <c r="I20" s="13" t="s">
        <v>718</v>
      </c>
      <c r="J20" s="12"/>
      <c r="K20" s="12"/>
      <c r="L20" s="12"/>
      <c r="M20" s="12"/>
      <c r="N20" s="12"/>
      <c r="O20" s="12"/>
      <c r="P20" s="12"/>
      <c r="Q20" s="12"/>
      <c r="R20" s="12"/>
      <c r="S20" s="12"/>
      <c r="T20" s="12"/>
      <c r="U20" s="12"/>
      <c r="V20" s="12"/>
      <c r="W20" s="12"/>
      <c r="X20" s="12"/>
      <c r="Y20" s="12"/>
      <c r="Z20" s="12"/>
      <c r="AA20" s="12"/>
      <c r="AB20" s="12"/>
      <c r="AC20" s="12"/>
      <c r="AD20" s="12"/>
    </row>
    <row r="21">
      <c r="A21" s="28" t="s">
        <v>8</v>
      </c>
      <c r="B21" s="28" t="s">
        <v>126</v>
      </c>
      <c r="C21" s="29" t="s">
        <v>128</v>
      </c>
      <c r="D21" s="29">
        <v>2029.0</v>
      </c>
      <c r="E21" s="28"/>
      <c r="F21" s="29">
        <v>29.0</v>
      </c>
      <c r="G21" s="12">
        <f t="shared" si="2"/>
        <v>36</v>
      </c>
      <c r="H21" s="12">
        <f t="shared" si="1"/>
        <v>0</v>
      </c>
      <c r="I21" s="13" t="s">
        <v>718</v>
      </c>
      <c r="J21" s="12"/>
      <c r="K21" s="12"/>
      <c r="L21" s="12"/>
      <c r="M21" s="12"/>
      <c r="N21" s="12"/>
      <c r="O21" s="12"/>
      <c r="P21" s="12"/>
      <c r="Q21" s="12"/>
      <c r="R21" s="12"/>
      <c r="S21" s="12"/>
      <c r="T21" s="12"/>
      <c r="U21" s="12"/>
      <c r="V21" s="12"/>
      <c r="W21" s="12"/>
      <c r="X21" s="12"/>
      <c r="Y21" s="12"/>
      <c r="Z21" s="12"/>
      <c r="AA21" s="12"/>
      <c r="AB21" s="12"/>
      <c r="AC21" s="12"/>
      <c r="AD21" s="12"/>
    </row>
    <row r="22">
      <c r="A22" s="28" t="s">
        <v>8</v>
      </c>
      <c r="B22" s="28" t="s">
        <v>126</v>
      </c>
      <c r="C22" s="29" t="s">
        <v>128</v>
      </c>
      <c r="D22" s="29">
        <v>2030.0</v>
      </c>
      <c r="E22" s="28"/>
      <c r="F22" s="29">
        <v>30.0</v>
      </c>
      <c r="G22" s="12">
        <f t="shared" si="2"/>
        <v>36</v>
      </c>
      <c r="H22" s="12">
        <f t="shared" si="1"/>
        <v>0</v>
      </c>
      <c r="I22" s="13" t="s">
        <v>718</v>
      </c>
      <c r="J22" s="12"/>
      <c r="K22" s="12"/>
      <c r="L22" s="12"/>
      <c r="M22" s="12"/>
      <c r="N22" s="12"/>
      <c r="O22" s="12"/>
      <c r="P22" s="12"/>
      <c r="Q22" s="12"/>
      <c r="R22" s="12"/>
      <c r="S22" s="12"/>
      <c r="T22" s="12"/>
      <c r="U22" s="12"/>
      <c r="V22" s="12"/>
      <c r="W22" s="12"/>
      <c r="X22" s="12"/>
      <c r="Y22" s="12"/>
      <c r="Z22" s="12"/>
      <c r="AA22" s="12"/>
      <c r="AB22" s="12"/>
      <c r="AC22" s="12"/>
      <c r="AD22" s="12"/>
    </row>
    <row r="23">
      <c r="A23" s="30" t="s">
        <v>8</v>
      </c>
      <c r="B23" s="30" t="s">
        <v>130</v>
      </c>
      <c r="C23" s="31" t="s">
        <v>132</v>
      </c>
      <c r="D23" s="31">
        <v>2024.0</v>
      </c>
      <c r="E23" s="31">
        <v>65.4</v>
      </c>
      <c r="F23" s="30"/>
      <c r="G23" s="4">
        <f t="shared" si="2"/>
        <v>90</v>
      </c>
      <c r="H23" s="12">
        <f t="shared" si="1"/>
        <v>1</v>
      </c>
      <c r="I23" s="5" t="s">
        <v>718</v>
      </c>
      <c r="K23" s="5"/>
    </row>
    <row r="24">
      <c r="A24" s="30" t="s">
        <v>8</v>
      </c>
      <c r="B24" s="30" t="s">
        <v>130</v>
      </c>
      <c r="C24" s="31" t="s">
        <v>132</v>
      </c>
      <c r="D24" s="31">
        <v>2025.0</v>
      </c>
      <c r="E24" s="31"/>
      <c r="F24" s="30"/>
      <c r="G24" s="4">
        <f t="shared" si="2"/>
        <v>90</v>
      </c>
      <c r="H24" s="12">
        <f t="shared" si="1"/>
        <v>0</v>
      </c>
      <c r="I24" s="5" t="s">
        <v>718</v>
      </c>
      <c r="K24" s="5" t="s">
        <v>719</v>
      </c>
    </row>
    <row r="25">
      <c r="A25" s="30" t="s">
        <v>8</v>
      </c>
      <c r="B25" s="30" t="s">
        <v>130</v>
      </c>
      <c r="C25" s="31" t="s">
        <v>132</v>
      </c>
      <c r="D25" s="31">
        <v>2026.0</v>
      </c>
      <c r="E25" s="30"/>
      <c r="F25" s="31">
        <v>67.0</v>
      </c>
      <c r="G25" s="4">
        <f t="shared" si="2"/>
        <v>90</v>
      </c>
      <c r="H25" s="12">
        <f t="shared" si="1"/>
        <v>0</v>
      </c>
      <c r="I25" s="5" t="s">
        <v>718</v>
      </c>
    </row>
    <row r="26">
      <c r="A26" s="30" t="s">
        <v>8</v>
      </c>
      <c r="B26" s="30" t="s">
        <v>130</v>
      </c>
      <c r="C26" s="31" t="s">
        <v>132</v>
      </c>
      <c r="D26" s="31">
        <v>2027.0</v>
      </c>
      <c r="E26" s="30"/>
      <c r="F26" s="31">
        <v>69.0</v>
      </c>
      <c r="G26" s="4">
        <f t="shared" si="2"/>
        <v>90</v>
      </c>
      <c r="H26" s="12">
        <f t="shared" si="1"/>
        <v>0</v>
      </c>
      <c r="I26" s="5" t="s">
        <v>718</v>
      </c>
    </row>
    <row r="27">
      <c r="A27" s="30" t="s">
        <v>8</v>
      </c>
      <c r="B27" s="30" t="s">
        <v>130</v>
      </c>
      <c r="C27" s="31" t="s">
        <v>132</v>
      </c>
      <c r="D27" s="31">
        <v>2028.0</v>
      </c>
      <c r="E27" s="30"/>
      <c r="F27" s="31">
        <v>71.0</v>
      </c>
      <c r="G27" s="4">
        <f t="shared" si="2"/>
        <v>90</v>
      </c>
      <c r="H27" s="12">
        <f t="shared" si="1"/>
        <v>0</v>
      </c>
      <c r="I27" s="5" t="s">
        <v>718</v>
      </c>
    </row>
    <row r="28">
      <c r="A28" s="30" t="s">
        <v>8</v>
      </c>
      <c r="B28" s="30" t="s">
        <v>130</v>
      </c>
      <c r="C28" s="31" t="s">
        <v>132</v>
      </c>
      <c r="D28" s="31">
        <v>2029.0</v>
      </c>
      <c r="E28" s="30"/>
      <c r="F28" s="31">
        <v>73.0</v>
      </c>
      <c r="G28" s="4">
        <f t="shared" si="2"/>
        <v>90</v>
      </c>
      <c r="H28" s="12">
        <f t="shared" si="1"/>
        <v>0</v>
      </c>
      <c r="I28" s="5" t="s">
        <v>718</v>
      </c>
    </row>
    <row r="29">
      <c r="A29" s="30" t="s">
        <v>8</v>
      </c>
      <c r="B29" s="30" t="s">
        <v>130</v>
      </c>
      <c r="C29" s="31" t="s">
        <v>132</v>
      </c>
      <c r="D29" s="31">
        <v>2030.0</v>
      </c>
      <c r="E29" s="30"/>
      <c r="F29" s="31">
        <v>75.0</v>
      </c>
      <c r="G29" s="4">
        <f t="shared" si="2"/>
        <v>90</v>
      </c>
      <c r="H29" s="12">
        <f t="shared" si="1"/>
        <v>0</v>
      </c>
      <c r="I29" s="5" t="s">
        <v>718</v>
      </c>
    </row>
    <row r="30">
      <c r="A30" s="28" t="s">
        <v>8</v>
      </c>
      <c r="B30" s="28" t="s">
        <v>137</v>
      </c>
      <c r="C30" s="29" t="s">
        <v>139</v>
      </c>
      <c r="D30" s="29">
        <v>2024.0</v>
      </c>
      <c r="E30" s="29">
        <v>36.0</v>
      </c>
      <c r="F30" s="12"/>
      <c r="G30" s="12">
        <f t="shared" si="2"/>
        <v>49.2</v>
      </c>
      <c r="H30" s="12">
        <f t="shared" si="1"/>
        <v>1</v>
      </c>
      <c r="I30" s="5" t="s">
        <v>718</v>
      </c>
      <c r="J30" s="12"/>
      <c r="K30" s="13"/>
      <c r="L30" s="13"/>
      <c r="M30" s="12"/>
      <c r="N30" s="12"/>
      <c r="O30" s="12"/>
      <c r="P30" s="12"/>
      <c r="Q30" s="12"/>
      <c r="R30" s="12"/>
      <c r="S30" s="12"/>
      <c r="T30" s="12"/>
      <c r="U30" s="12"/>
      <c r="V30" s="12"/>
      <c r="W30" s="12"/>
      <c r="X30" s="12"/>
      <c r="Y30" s="12"/>
      <c r="Z30" s="12"/>
      <c r="AA30" s="12"/>
      <c r="AB30" s="12"/>
      <c r="AC30" s="12"/>
      <c r="AD30" s="12"/>
    </row>
    <row r="31">
      <c r="A31" s="28" t="s">
        <v>8</v>
      </c>
      <c r="B31" s="28" t="s">
        <v>137</v>
      </c>
      <c r="C31" s="29" t="s">
        <v>139</v>
      </c>
      <c r="D31" s="29">
        <v>2025.0</v>
      </c>
      <c r="E31" s="28"/>
      <c r="F31" s="12"/>
      <c r="G31" s="12">
        <f t="shared" si="2"/>
        <v>49.2</v>
      </c>
      <c r="H31" s="12">
        <f t="shared" si="1"/>
        <v>0</v>
      </c>
      <c r="I31" s="5" t="s">
        <v>718</v>
      </c>
      <c r="J31" s="12"/>
      <c r="K31" s="13" t="s">
        <v>723</v>
      </c>
      <c r="L31" s="13" t="s">
        <v>724</v>
      </c>
      <c r="M31" s="12"/>
      <c r="N31" s="12"/>
      <c r="O31" s="12"/>
      <c r="P31" s="12"/>
      <c r="Q31" s="12"/>
      <c r="R31" s="12"/>
      <c r="S31" s="12"/>
      <c r="T31" s="12"/>
      <c r="U31" s="12"/>
      <c r="V31" s="12"/>
      <c r="W31" s="12"/>
      <c r="X31" s="12"/>
      <c r="Y31" s="12"/>
      <c r="Z31" s="12"/>
      <c r="AA31" s="12"/>
      <c r="AB31" s="12"/>
      <c r="AC31" s="12"/>
      <c r="AD31" s="12"/>
    </row>
    <row r="32">
      <c r="A32" s="28" t="s">
        <v>8</v>
      </c>
      <c r="B32" s="28" t="s">
        <v>137</v>
      </c>
      <c r="C32" s="29" t="s">
        <v>139</v>
      </c>
      <c r="D32" s="29">
        <v>2026.0</v>
      </c>
      <c r="E32" s="28"/>
      <c r="F32" s="29">
        <v>37.0</v>
      </c>
      <c r="G32" s="12">
        <f t="shared" si="2"/>
        <v>49.2</v>
      </c>
      <c r="H32" s="12">
        <f t="shared" si="1"/>
        <v>0</v>
      </c>
      <c r="I32" s="5" t="s">
        <v>718</v>
      </c>
      <c r="J32" s="12"/>
      <c r="K32" s="12"/>
      <c r="L32" s="12"/>
      <c r="M32" s="12"/>
      <c r="N32" s="12"/>
      <c r="O32" s="12"/>
      <c r="P32" s="12"/>
      <c r="Q32" s="12"/>
      <c r="R32" s="12"/>
      <c r="S32" s="12"/>
      <c r="T32" s="12"/>
      <c r="U32" s="12"/>
      <c r="V32" s="12"/>
      <c r="W32" s="12"/>
      <c r="X32" s="12"/>
      <c r="Y32" s="12"/>
      <c r="Z32" s="12"/>
      <c r="AA32" s="12"/>
      <c r="AB32" s="12"/>
      <c r="AC32" s="12"/>
      <c r="AD32" s="12"/>
    </row>
    <row r="33">
      <c r="A33" s="28" t="s">
        <v>8</v>
      </c>
      <c r="B33" s="28" t="s">
        <v>137</v>
      </c>
      <c r="C33" s="29" t="s">
        <v>139</v>
      </c>
      <c r="D33" s="29">
        <v>2027.0</v>
      </c>
      <c r="E33" s="28"/>
      <c r="F33" s="29">
        <v>38.0</v>
      </c>
      <c r="G33" s="12">
        <f t="shared" si="2"/>
        <v>49.2</v>
      </c>
      <c r="H33" s="12">
        <f t="shared" si="1"/>
        <v>0</v>
      </c>
      <c r="I33" s="5" t="s">
        <v>718</v>
      </c>
      <c r="J33" s="12"/>
      <c r="K33" s="12"/>
      <c r="L33" s="12"/>
      <c r="M33" s="12"/>
      <c r="N33" s="12"/>
      <c r="O33" s="12"/>
      <c r="P33" s="12"/>
      <c r="Q33" s="12"/>
      <c r="R33" s="12"/>
      <c r="S33" s="12"/>
      <c r="T33" s="12"/>
      <c r="U33" s="12"/>
      <c r="V33" s="12"/>
      <c r="W33" s="12"/>
      <c r="X33" s="12"/>
      <c r="Y33" s="12"/>
      <c r="Z33" s="12"/>
      <c r="AA33" s="12"/>
      <c r="AB33" s="12"/>
      <c r="AC33" s="12"/>
      <c r="AD33" s="12"/>
    </row>
    <row r="34">
      <c r="A34" s="28" t="s">
        <v>8</v>
      </c>
      <c r="B34" s="28" t="s">
        <v>137</v>
      </c>
      <c r="C34" s="29" t="s">
        <v>139</v>
      </c>
      <c r="D34" s="29">
        <v>2028.0</v>
      </c>
      <c r="E34" s="28"/>
      <c r="F34" s="29">
        <v>39.0</v>
      </c>
      <c r="G34" s="12">
        <f t="shared" si="2"/>
        <v>49.2</v>
      </c>
      <c r="H34" s="12">
        <f t="shared" si="1"/>
        <v>0</v>
      </c>
      <c r="I34" s="5" t="s">
        <v>718</v>
      </c>
      <c r="J34" s="12"/>
      <c r="K34" s="12"/>
      <c r="L34" s="12"/>
      <c r="M34" s="12"/>
      <c r="N34" s="12"/>
      <c r="O34" s="12"/>
      <c r="P34" s="12"/>
      <c r="Q34" s="12"/>
      <c r="R34" s="12"/>
      <c r="S34" s="12"/>
      <c r="T34" s="12"/>
      <c r="U34" s="12"/>
      <c r="V34" s="12"/>
      <c r="W34" s="12"/>
      <c r="X34" s="12"/>
      <c r="Y34" s="12"/>
      <c r="Z34" s="12"/>
      <c r="AA34" s="12"/>
      <c r="AB34" s="12"/>
      <c r="AC34" s="12"/>
      <c r="AD34" s="12"/>
    </row>
    <row r="35">
      <c r="A35" s="28" t="s">
        <v>8</v>
      </c>
      <c r="B35" s="28" t="s">
        <v>137</v>
      </c>
      <c r="C35" s="29" t="s">
        <v>139</v>
      </c>
      <c r="D35" s="29">
        <v>2029.0</v>
      </c>
      <c r="E35" s="28"/>
      <c r="F35" s="29">
        <v>40.0</v>
      </c>
      <c r="G35" s="12">
        <f t="shared" si="2"/>
        <v>49.2</v>
      </c>
      <c r="H35" s="12">
        <f t="shared" si="1"/>
        <v>0</v>
      </c>
      <c r="I35" s="5" t="s">
        <v>718</v>
      </c>
      <c r="J35" s="12"/>
      <c r="K35" s="12"/>
      <c r="L35" s="12"/>
      <c r="M35" s="12"/>
      <c r="N35" s="12"/>
      <c r="O35" s="12"/>
      <c r="P35" s="12"/>
      <c r="Q35" s="12"/>
      <c r="R35" s="12"/>
      <c r="S35" s="12"/>
      <c r="T35" s="12"/>
      <c r="U35" s="12"/>
      <c r="V35" s="12"/>
      <c r="W35" s="12"/>
      <c r="X35" s="12"/>
      <c r="Y35" s="12"/>
      <c r="Z35" s="12"/>
      <c r="AA35" s="12"/>
      <c r="AB35" s="12"/>
      <c r="AC35" s="12"/>
      <c r="AD35" s="12"/>
    </row>
    <row r="36">
      <c r="A36" s="28" t="s">
        <v>8</v>
      </c>
      <c r="B36" s="28" t="s">
        <v>137</v>
      </c>
      <c r="C36" s="29" t="s">
        <v>139</v>
      </c>
      <c r="D36" s="29">
        <v>2030.0</v>
      </c>
      <c r="E36" s="28"/>
      <c r="F36" s="29">
        <v>41.0</v>
      </c>
      <c r="G36" s="12">
        <f t="shared" si="2"/>
        <v>49.2</v>
      </c>
      <c r="H36" s="12">
        <f t="shared" si="1"/>
        <v>0</v>
      </c>
      <c r="I36" s="5" t="s">
        <v>718</v>
      </c>
      <c r="J36" s="12"/>
      <c r="K36" s="12"/>
      <c r="L36" s="12"/>
      <c r="M36" s="12"/>
      <c r="N36" s="12"/>
      <c r="O36" s="12"/>
      <c r="P36" s="12"/>
      <c r="Q36" s="12"/>
      <c r="R36" s="12"/>
      <c r="S36" s="12"/>
      <c r="T36" s="12"/>
      <c r="U36" s="12"/>
      <c r="V36" s="12"/>
      <c r="W36" s="12"/>
      <c r="X36" s="12"/>
      <c r="Y36" s="12"/>
      <c r="Z36" s="12"/>
      <c r="AA36" s="12"/>
      <c r="AB36" s="12"/>
      <c r="AC36" s="12"/>
      <c r="AD36" s="12"/>
    </row>
    <row r="37">
      <c r="A37" s="30" t="s">
        <v>8</v>
      </c>
      <c r="B37" s="30" t="s">
        <v>141</v>
      </c>
      <c r="C37" s="31" t="s">
        <v>143</v>
      </c>
      <c r="D37" s="31">
        <v>2024.0</v>
      </c>
      <c r="E37" s="31">
        <v>36.0</v>
      </c>
      <c r="F37" s="30"/>
      <c r="G37" s="4">
        <f t="shared" si="2"/>
        <v>49.2</v>
      </c>
      <c r="H37" s="12">
        <f t="shared" si="1"/>
        <v>1</v>
      </c>
      <c r="I37" s="5" t="s">
        <v>718</v>
      </c>
      <c r="K37" s="5"/>
      <c r="L37" s="5"/>
    </row>
    <row r="38">
      <c r="A38" s="30" t="s">
        <v>8</v>
      </c>
      <c r="B38" s="30" t="s">
        <v>141</v>
      </c>
      <c r="C38" s="31" t="s">
        <v>143</v>
      </c>
      <c r="D38" s="31">
        <v>2025.0</v>
      </c>
      <c r="E38" s="30"/>
      <c r="F38" s="30"/>
      <c r="G38" s="4">
        <f t="shared" si="2"/>
        <v>49.2</v>
      </c>
      <c r="H38" s="12">
        <f t="shared" si="1"/>
        <v>0</v>
      </c>
      <c r="I38" s="5" t="s">
        <v>718</v>
      </c>
      <c r="K38" s="5" t="s">
        <v>723</v>
      </c>
      <c r="L38" s="5" t="s">
        <v>725</v>
      </c>
    </row>
    <row r="39">
      <c r="A39" s="30" t="s">
        <v>8</v>
      </c>
      <c r="B39" s="30" t="s">
        <v>141</v>
      </c>
      <c r="C39" s="31" t="s">
        <v>143</v>
      </c>
      <c r="D39" s="31">
        <v>2026.0</v>
      </c>
      <c r="E39" s="30"/>
      <c r="F39" s="31">
        <v>37.0</v>
      </c>
      <c r="G39" s="4">
        <f t="shared" si="2"/>
        <v>49.2</v>
      </c>
      <c r="H39" s="12">
        <f t="shared" si="1"/>
        <v>0</v>
      </c>
      <c r="I39" s="5" t="s">
        <v>718</v>
      </c>
    </row>
    <row r="40">
      <c r="A40" s="30" t="s">
        <v>8</v>
      </c>
      <c r="B40" s="30" t="s">
        <v>141</v>
      </c>
      <c r="C40" s="31" t="s">
        <v>143</v>
      </c>
      <c r="D40" s="31">
        <v>2027.0</v>
      </c>
      <c r="E40" s="30"/>
      <c r="F40" s="31">
        <v>38.0</v>
      </c>
      <c r="G40" s="4">
        <f t="shared" si="2"/>
        <v>49.2</v>
      </c>
      <c r="H40" s="12">
        <f t="shared" si="1"/>
        <v>0</v>
      </c>
      <c r="I40" s="5" t="s">
        <v>718</v>
      </c>
    </row>
    <row r="41">
      <c r="A41" s="30" t="s">
        <v>8</v>
      </c>
      <c r="B41" s="30" t="s">
        <v>141</v>
      </c>
      <c r="C41" s="31" t="s">
        <v>143</v>
      </c>
      <c r="D41" s="31">
        <v>2028.0</v>
      </c>
      <c r="E41" s="30"/>
      <c r="F41" s="31">
        <v>39.0</v>
      </c>
      <c r="G41" s="4">
        <f t="shared" si="2"/>
        <v>49.2</v>
      </c>
      <c r="H41" s="12">
        <f t="shared" si="1"/>
        <v>0</v>
      </c>
      <c r="I41" s="5" t="s">
        <v>718</v>
      </c>
    </row>
    <row r="42">
      <c r="A42" s="30" t="s">
        <v>8</v>
      </c>
      <c r="B42" s="30" t="s">
        <v>141</v>
      </c>
      <c r="C42" s="31" t="s">
        <v>143</v>
      </c>
      <c r="D42" s="31">
        <v>2029.0</v>
      </c>
      <c r="E42" s="30"/>
      <c r="F42" s="31">
        <v>40.0</v>
      </c>
      <c r="G42" s="4">
        <f t="shared" si="2"/>
        <v>49.2</v>
      </c>
      <c r="H42" s="12">
        <f t="shared" si="1"/>
        <v>0</v>
      </c>
      <c r="I42" s="5" t="s">
        <v>718</v>
      </c>
    </row>
    <row r="43">
      <c r="A43" s="30" t="s">
        <v>8</v>
      </c>
      <c r="B43" s="30" t="s">
        <v>141</v>
      </c>
      <c r="C43" s="31" t="s">
        <v>143</v>
      </c>
      <c r="D43" s="31">
        <v>2030.0</v>
      </c>
      <c r="E43" s="30"/>
      <c r="F43" s="31">
        <v>41.0</v>
      </c>
      <c r="G43" s="4">
        <f t="shared" si="2"/>
        <v>49.2</v>
      </c>
      <c r="H43" s="12">
        <f t="shared" si="1"/>
        <v>0</v>
      </c>
      <c r="I43" s="5" t="s">
        <v>718</v>
      </c>
    </row>
    <row r="44">
      <c r="A44" s="28" t="s">
        <v>8</v>
      </c>
      <c r="B44" s="28" t="s">
        <v>145</v>
      </c>
      <c r="C44" s="29" t="s">
        <v>147</v>
      </c>
      <c r="D44" s="29">
        <v>2024.0</v>
      </c>
      <c r="E44" s="29">
        <v>36.1</v>
      </c>
      <c r="F44" s="28"/>
      <c r="G44" s="12">
        <f t="shared" si="2"/>
        <v>50.4</v>
      </c>
      <c r="H44" s="12">
        <f t="shared" si="1"/>
        <v>1</v>
      </c>
      <c r="I44" s="13" t="s">
        <v>718</v>
      </c>
      <c r="J44" s="12"/>
      <c r="K44" s="13"/>
      <c r="L44" s="5"/>
      <c r="M44" s="13"/>
      <c r="N44" s="12"/>
      <c r="O44" s="12"/>
      <c r="P44" s="12"/>
      <c r="Q44" s="12"/>
      <c r="R44" s="12"/>
      <c r="S44" s="12"/>
      <c r="T44" s="12"/>
      <c r="U44" s="12"/>
      <c r="V44" s="12"/>
      <c r="W44" s="12"/>
      <c r="X44" s="12"/>
      <c r="Y44" s="12"/>
      <c r="Z44" s="12"/>
      <c r="AA44" s="12"/>
      <c r="AB44" s="12"/>
      <c r="AC44" s="12"/>
      <c r="AD44" s="12"/>
    </row>
    <row r="45">
      <c r="A45" s="28" t="s">
        <v>8</v>
      </c>
      <c r="B45" s="28" t="s">
        <v>145</v>
      </c>
      <c r="C45" s="29" t="s">
        <v>147</v>
      </c>
      <c r="D45" s="29">
        <v>2025.0</v>
      </c>
      <c r="E45" s="28"/>
      <c r="F45" s="28"/>
      <c r="G45" s="12">
        <f t="shared" si="2"/>
        <v>50.4</v>
      </c>
      <c r="H45" s="12">
        <f t="shared" si="1"/>
        <v>0</v>
      </c>
      <c r="I45" s="13" t="s">
        <v>718</v>
      </c>
      <c r="J45" s="12"/>
      <c r="K45" s="13" t="s">
        <v>726</v>
      </c>
      <c r="L45" s="5" t="s">
        <v>727</v>
      </c>
      <c r="M45" s="13" t="s">
        <v>728</v>
      </c>
      <c r="N45" s="12"/>
      <c r="O45" s="12"/>
      <c r="P45" s="12"/>
      <c r="Q45" s="12"/>
      <c r="R45" s="12"/>
      <c r="S45" s="12"/>
      <c r="T45" s="12"/>
      <c r="U45" s="12"/>
      <c r="V45" s="12"/>
      <c r="W45" s="12"/>
      <c r="X45" s="12"/>
      <c r="Y45" s="12"/>
      <c r="Z45" s="12"/>
      <c r="AA45" s="12"/>
      <c r="AB45" s="12"/>
      <c r="AC45" s="12"/>
      <c r="AD45" s="12"/>
    </row>
    <row r="46">
      <c r="A46" s="28" t="s">
        <v>8</v>
      </c>
      <c r="B46" s="28" t="s">
        <v>145</v>
      </c>
      <c r="C46" s="29" t="s">
        <v>147</v>
      </c>
      <c r="D46" s="29">
        <v>2026.0</v>
      </c>
      <c r="E46" s="28"/>
      <c r="F46" s="29">
        <v>37.0</v>
      </c>
      <c r="G46" s="12">
        <f t="shared" si="2"/>
        <v>50.4</v>
      </c>
      <c r="H46" s="12">
        <f t="shared" si="1"/>
        <v>0</v>
      </c>
      <c r="I46" s="13" t="s">
        <v>718</v>
      </c>
      <c r="J46" s="12"/>
      <c r="K46" s="12"/>
      <c r="L46" s="12"/>
      <c r="M46" s="12"/>
      <c r="N46" s="12"/>
      <c r="O46" s="12"/>
      <c r="P46" s="12"/>
      <c r="Q46" s="12"/>
      <c r="R46" s="12"/>
      <c r="S46" s="12"/>
      <c r="T46" s="12"/>
      <c r="U46" s="12"/>
      <c r="V46" s="12"/>
      <c r="W46" s="12"/>
      <c r="X46" s="12"/>
      <c r="Y46" s="12"/>
      <c r="Z46" s="12"/>
      <c r="AA46" s="12"/>
      <c r="AB46" s="12"/>
      <c r="AC46" s="12"/>
      <c r="AD46" s="12"/>
    </row>
    <row r="47">
      <c r="A47" s="28" t="s">
        <v>8</v>
      </c>
      <c r="B47" s="28" t="s">
        <v>145</v>
      </c>
      <c r="C47" s="29" t="s">
        <v>147</v>
      </c>
      <c r="D47" s="29">
        <v>2027.0</v>
      </c>
      <c r="E47" s="28"/>
      <c r="F47" s="29">
        <v>38.0</v>
      </c>
      <c r="G47" s="12">
        <f t="shared" si="2"/>
        <v>50.4</v>
      </c>
      <c r="H47" s="12">
        <f t="shared" si="1"/>
        <v>0</v>
      </c>
      <c r="I47" s="13" t="s">
        <v>718</v>
      </c>
      <c r="J47" s="12"/>
      <c r="K47" s="12"/>
      <c r="L47" s="12"/>
      <c r="M47" s="12"/>
      <c r="N47" s="12"/>
      <c r="O47" s="12"/>
      <c r="P47" s="12"/>
      <c r="Q47" s="12"/>
      <c r="R47" s="12"/>
      <c r="S47" s="12"/>
      <c r="T47" s="12"/>
      <c r="U47" s="12"/>
      <c r="V47" s="12"/>
      <c r="W47" s="12"/>
      <c r="X47" s="12"/>
      <c r="Y47" s="12"/>
      <c r="Z47" s="12"/>
      <c r="AA47" s="12"/>
      <c r="AB47" s="12"/>
      <c r="AC47" s="12"/>
      <c r="AD47" s="12"/>
    </row>
    <row r="48">
      <c r="A48" s="28" t="s">
        <v>8</v>
      </c>
      <c r="B48" s="28" t="s">
        <v>145</v>
      </c>
      <c r="C48" s="29" t="s">
        <v>147</v>
      </c>
      <c r="D48" s="29">
        <v>2028.0</v>
      </c>
      <c r="E48" s="28"/>
      <c r="F48" s="29">
        <v>40.0</v>
      </c>
      <c r="G48" s="12">
        <f t="shared" si="2"/>
        <v>50.4</v>
      </c>
      <c r="H48" s="12">
        <f t="shared" si="1"/>
        <v>0</v>
      </c>
      <c r="I48" s="13" t="s">
        <v>718</v>
      </c>
      <c r="J48" s="12"/>
      <c r="K48" s="12"/>
      <c r="L48" s="12"/>
      <c r="M48" s="12"/>
      <c r="N48" s="12"/>
      <c r="O48" s="12"/>
      <c r="P48" s="12"/>
      <c r="Q48" s="12"/>
      <c r="R48" s="12"/>
      <c r="S48" s="12"/>
      <c r="T48" s="12"/>
      <c r="U48" s="12"/>
      <c r="V48" s="12"/>
      <c r="W48" s="12"/>
      <c r="X48" s="12"/>
      <c r="Y48" s="12"/>
      <c r="Z48" s="12"/>
      <c r="AA48" s="12"/>
      <c r="AB48" s="12"/>
      <c r="AC48" s="12"/>
      <c r="AD48" s="12"/>
    </row>
    <row r="49">
      <c r="A49" s="28" t="s">
        <v>8</v>
      </c>
      <c r="B49" s="28" t="s">
        <v>145</v>
      </c>
      <c r="C49" s="29" t="s">
        <v>147</v>
      </c>
      <c r="D49" s="29">
        <v>2029.0</v>
      </c>
      <c r="E49" s="28"/>
      <c r="F49" s="29">
        <v>41.0</v>
      </c>
      <c r="G49" s="12">
        <f t="shared" si="2"/>
        <v>50.4</v>
      </c>
      <c r="H49" s="12">
        <f t="shared" si="1"/>
        <v>0</v>
      </c>
      <c r="I49" s="13" t="s">
        <v>718</v>
      </c>
      <c r="J49" s="12"/>
      <c r="K49" s="12"/>
      <c r="L49" s="12"/>
      <c r="M49" s="12"/>
      <c r="N49" s="12"/>
      <c r="O49" s="12"/>
      <c r="P49" s="12"/>
      <c r="Q49" s="12"/>
      <c r="R49" s="12"/>
      <c r="S49" s="12"/>
      <c r="T49" s="12"/>
      <c r="U49" s="12"/>
      <c r="V49" s="12"/>
      <c r="W49" s="12"/>
      <c r="X49" s="12"/>
      <c r="Y49" s="12"/>
      <c r="Z49" s="12"/>
      <c r="AA49" s="12"/>
      <c r="AB49" s="12"/>
      <c r="AC49" s="12"/>
      <c r="AD49" s="12"/>
    </row>
    <row r="50">
      <c r="A50" s="28" t="s">
        <v>8</v>
      </c>
      <c r="B50" s="28" t="s">
        <v>145</v>
      </c>
      <c r="C50" s="29" t="s">
        <v>147</v>
      </c>
      <c r="D50" s="29">
        <v>2030.0</v>
      </c>
      <c r="E50" s="28"/>
      <c r="F50" s="29">
        <v>42.0</v>
      </c>
      <c r="G50" s="12">
        <f t="shared" si="2"/>
        <v>50.4</v>
      </c>
      <c r="H50" s="12">
        <f t="shared" si="1"/>
        <v>0</v>
      </c>
      <c r="I50" s="13" t="s">
        <v>718</v>
      </c>
      <c r="J50" s="12"/>
      <c r="K50" s="12"/>
      <c r="L50" s="12"/>
      <c r="M50" s="12"/>
      <c r="N50" s="12"/>
      <c r="O50" s="12"/>
      <c r="P50" s="12"/>
      <c r="Q50" s="12"/>
      <c r="R50" s="12"/>
      <c r="S50" s="12"/>
      <c r="T50" s="12"/>
      <c r="U50" s="12"/>
      <c r="V50" s="12"/>
      <c r="W50" s="12"/>
      <c r="X50" s="12"/>
      <c r="Y50" s="12"/>
      <c r="Z50" s="12"/>
      <c r="AA50" s="12"/>
      <c r="AB50" s="12"/>
      <c r="AC50" s="12"/>
      <c r="AD50" s="12"/>
    </row>
    <row r="51">
      <c r="A51" s="30" t="s">
        <v>8</v>
      </c>
      <c r="B51" s="30" t="s">
        <v>149</v>
      </c>
      <c r="C51" s="31" t="s">
        <v>151</v>
      </c>
      <c r="D51" s="31">
        <v>2024.0</v>
      </c>
      <c r="E51" s="32">
        <v>358069.0</v>
      </c>
      <c r="F51" s="30"/>
      <c r="G51" s="4">
        <f t="shared" si="2"/>
        <v>600000</v>
      </c>
      <c r="H51" s="12">
        <f t="shared" si="1"/>
        <v>1</v>
      </c>
      <c r="I51" s="5" t="s">
        <v>729</v>
      </c>
      <c r="K51" s="5"/>
      <c r="L51" s="5"/>
    </row>
    <row r="52">
      <c r="A52" s="30" t="s">
        <v>8</v>
      </c>
      <c r="B52" s="30" t="s">
        <v>149</v>
      </c>
      <c r="C52" s="31" t="s">
        <v>151</v>
      </c>
      <c r="D52" s="31">
        <v>2025.0</v>
      </c>
      <c r="E52" s="30"/>
      <c r="F52" s="30"/>
      <c r="G52" s="4">
        <f t="shared" si="2"/>
        <v>600000</v>
      </c>
      <c r="H52" s="12">
        <f t="shared" si="1"/>
        <v>0</v>
      </c>
      <c r="I52" s="5" t="s">
        <v>729</v>
      </c>
      <c r="K52" s="5" t="s">
        <v>726</v>
      </c>
      <c r="L52" s="5" t="s">
        <v>727</v>
      </c>
    </row>
    <row r="53">
      <c r="A53" s="30" t="s">
        <v>8</v>
      </c>
      <c r="B53" s="30" t="s">
        <v>149</v>
      </c>
      <c r="C53" s="31" t="s">
        <v>151</v>
      </c>
      <c r="D53" s="31">
        <v>2026.0</v>
      </c>
      <c r="E53" s="30"/>
      <c r="F53" s="31">
        <v>400000.0</v>
      </c>
      <c r="G53" s="4">
        <f t="shared" si="2"/>
        <v>600000</v>
      </c>
      <c r="H53" s="12">
        <f t="shared" si="1"/>
        <v>0</v>
      </c>
      <c r="I53" s="5" t="s">
        <v>729</v>
      </c>
    </row>
    <row r="54">
      <c r="A54" s="30" t="s">
        <v>8</v>
      </c>
      <c r="B54" s="30" t="s">
        <v>149</v>
      </c>
      <c r="C54" s="31" t="s">
        <v>151</v>
      </c>
      <c r="D54" s="31">
        <v>2027.0</v>
      </c>
      <c r="E54" s="30"/>
      <c r="F54" s="31">
        <v>425000.0</v>
      </c>
      <c r="G54" s="4">
        <f t="shared" si="2"/>
        <v>600000</v>
      </c>
      <c r="H54" s="12">
        <f t="shared" si="1"/>
        <v>0</v>
      </c>
      <c r="I54" s="5" t="s">
        <v>729</v>
      </c>
    </row>
    <row r="55">
      <c r="A55" s="30" t="s">
        <v>8</v>
      </c>
      <c r="B55" s="30" t="s">
        <v>149</v>
      </c>
      <c r="C55" s="31" t="s">
        <v>151</v>
      </c>
      <c r="D55" s="31">
        <v>2028.0</v>
      </c>
      <c r="E55" s="30"/>
      <c r="F55" s="31">
        <v>450000.0</v>
      </c>
      <c r="G55" s="4">
        <f t="shared" si="2"/>
        <v>600000</v>
      </c>
      <c r="H55" s="12">
        <f t="shared" si="1"/>
        <v>0</v>
      </c>
      <c r="I55" s="5" t="s">
        <v>729</v>
      </c>
    </row>
    <row r="56">
      <c r="A56" s="30" t="s">
        <v>8</v>
      </c>
      <c r="B56" s="30" t="s">
        <v>149</v>
      </c>
      <c r="C56" s="31" t="s">
        <v>151</v>
      </c>
      <c r="D56" s="31">
        <v>2029.0</v>
      </c>
      <c r="E56" s="30"/>
      <c r="F56" s="31">
        <v>475000.0</v>
      </c>
      <c r="G56" s="4">
        <f t="shared" si="2"/>
        <v>600000</v>
      </c>
      <c r="H56" s="12">
        <f t="shared" si="1"/>
        <v>0</v>
      </c>
      <c r="I56" s="5" t="s">
        <v>729</v>
      </c>
    </row>
    <row r="57">
      <c r="A57" s="30" t="s">
        <v>8</v>
      </c>
      <c r="B57" s="30" t="s">
        <v>149</v>
      </c>
      <c r="C57" s="31" t="s">
        <v>151</v>
      </c>
      <c r="D57" s="31">
        <v>2030.0</v>
      </c>
      <c r="E57" s="30"/>
      <c r="F57" s="31">
        <v>500000.0</v>
      </c>
      <c r="G57" s="4">
        <f t="shared" si="2"/>
        <v>600000</v>
      </c>
      <c r="H57" s="12">
        <f t="shared" si="1"/>
        <v>0</v>
      </c>
      <c r="I57" s="5" t="s">
        <v>729</v>
      </c>
    </row>
    <row r="58">
      <c r="A58" s="28" t="s">
        <v>8</v>
      </c>
      <c r="B58" s="28" t="s">
        <v>156</v>
      </c>
      <c r="C58" s="29" t="s">
        <v>158</v>
      </c>
      <c r="D58" s="29">
        <v>2024.0</v>
      </c>
      <c r="E58" s="29">
        <v>213.0</v>
      </c>
      <c r="F58" s="29"/>
      <c r="G58" s="12">
        <f t="shared" si="2"/>
        <v>270</v>
      </c>
      <c r="H58" s="12">
        <f t="shared" si="1"/>
        <v>1</v>
      </c>
      <c r="I58" s="13" t="s">
        <v>730</v>
      </c>
      <c r="J58" s="12"/>
      <c r="K58" s="12"/>
      <c r="L58" s="12"/>
      <c r="M58" s="12"/>
      <c r="N58" s="12"/>
      <c r="O58" s="12"/>
      <c r="P58" s="12"/>
      <c r="Q58" s="12"/>
      <c r="R58" s="12"/>
      <c r="S58" s="12"/>
      <c r="T58" s="12"/>
      <c r="U58" s="12"/>
      <c r="V58" s="12"/>
      <c r="W58" s="12"/>
      <c r="X58" s="12"/>
      <c r="Y58" s="12"/>
      <c r="Z58" s="12"/>
      <c r="AA58" s="12"/>
      <c r="AB58" s="12"/>
      <c r="AC58" s="12"/>
      <c r="AD58" s="12"/>
    </row>
    <row r="59">
      <c r="A59" s="28" t="s">
        <v>8</v>
      </c>
      <c r="B59" s="28" t="s">
        <v>156</v>
      </c>
      <c r="C59" s="29" t="s">
        <v>158</v>
      </c>
      <c r="D59" s="29">
        <v>2026.0</v>
      </c>
      <c r="E59" s="29"/>
      <c r="F59" s="29">
        <v>217.0</v>
      </c>
      <c r="G59" s="12">
        <f t="shared" si="2"/>
        <v>270</v>
      </c>
      <c r="H59" s="12">
        <f t="shared" si="1"/>
        <v>0</v>
      </c>
      <c r="I59" s="13" t="s">
        <v>730</v>
      </c>
      <c r="J59" s="12"/>
      <c r="K59" s="12"/>
      <c r="L59" s="12"/>
      <c r="M59" s="12"/>
      <c r="N59" s="12"/>
      <c r="O59" s="12"/>
      <c r="P59" s="12"/>
      <c r="Q59" s="12"/>
      <c r="R59" s="12"/>
      <c r="S59" s="12"/>
      <c r="T59" s="12"/>
      <c r="U59" s="12"/>
      <c r="V59" s="12"/>
      <c r="W59" s="12"/>
      <c r="X59" s="12"/>
      <c r="Y59" s="12"/>
      <c r="Z59" s="12"/>
      <c r="AA59" s="12"/>
      <c r="AB59" s="12"/>
      <c r="AC59" s="12"/>
      <c r="AD59" s="12"/>
    </row>
    <row r="60">
      <c r="A60" s="28" t="s">
        <v>8</v>
      </c>
      <c r="B60" s="28" t="s">
        <v>156</v>
      </c>
      <c r="C60" s="29" t="s">
        <v>158</v>
      </c>
      <c r="D60" s="29">
        <v>2028.0</v>
      </c>
      <c r="E60" s="28"/>
      <c r="F60" s="29">
        <v>221.0</v>
      </c>
      <c r="G60" s="12">
        <f t="shared" si="2"/>
        <v>270</v>
      </c>
      <c r="H60" s="12">
        <f t="shared" si="1"/>
        <v>0</v>
      </c>
      <c r="I60" s="13" t="s">
        <v>730</v>
      </c>
      <c r="J60" s="12"/>
      <c r="K60" s="12"/>
      <c r="L60" s="12"/>
      <c r="M60" s="12"/>
      <c r="N60" s="12"/>
      <c r="O60" s="12"/>
      <c r="P60" s="12"/>
      <c r="Q60" s="12"/>
      <c r="R60" s="12"/>
      <c r="S60" s="12"/>
      <c r="T60" s="12"/>
      <c r="U60" s="12"/>
      <c r="V60" s="12"/>
      <c r="W60" s="12"/>
      <c r="X60" s="12"/>
      <c r="Y60" s="12"/>
      <c r="Z60" s="12"/>
      <c r="AA60" s="12"/>
      <c r="AB60" s="12"/>
      <c r="AC60" s="12"/>
      <c r="AD60" s="12"/>
    </row>
    <row r="61">
      <c r="A61" s="28" t="s">
        <v>8</v>
      </c>
      <c r="B61" s="28" t="s">
        <v>156</v>
      </c>
      <c r="C61" s="29" t="s">
        <v>158</v>
      </c>
      <c r="D61" s="29">
        <v>2030.0</v>
      </c>
      <c r="E61" s="28"/>
      <c r="F61" s="29">
        <v>225.0</v>
      </c>
      <c r="G61" s="12">
        <f t="shared" si="2"/>
        <v>270</v>
      </c>
      <c r="H61" s="12">
        <f t="shared" si="1"/>
        <v>0</v>
      </c>
      <c r="I61" s="13" t="s">
        <v>730</v>
      </c>
      <c r="J61" s="12"/>
      <c r="K61" s="12"/>
      <c r="L61" s="12"/>
      <c r="M61" s="12"/>
      <c r="N61" s="12"/>
      <c r="O61" s="12"/>
      <c r="P61" s="12"/>
      <c r="Q61" s="12"/>
      <c r="R61" s="12"/>
      <c r="S61" s="12"/>
      <c r="T61" s="12"/>
      <c r="U61" s="12"/>
      <c r="V61" s="12"/>
      <c r="W61" s="12"/>
      <c r="X61" s="12"/>
      <c r="Y61" s="12"/>
      <c r="Z61" s="12"/>
      <c r="AA61" s="12"/>
      <c r="AB61" s="12"/>
      <c r="AC61" s="12"/>
      <c r="AD61" s="12"/>
    </row>
    <row r="62">
      <c r="A62" s="30" t="s">
        <v>8</v>
      </c>
      <c r="B62" s="30" t="s">
        <v>160</v>
      </c>
      <c r="C62" s="31" t="s">
        <v>162</v>
      </c>
      <c r="D62" s="31">
        <v>2024.0</v>
      </c>
      <c r="E62" s="31">
        <v>255.0</v>
      </c>
      <c r="F62" s="30"/>
      <c r="G62" s="4">
        <f t="shared" si="2"/>
        <v>321.6</v>
      </c>
      <c r="H62" s="12">
        <f t="shared" si="1"/>
        <v>1</v>
      </c>
      <c r="I62" s="5" t="s">
        <v>730</v>
      </c>
    </row>
    <row r="63">
      <c r="A63" s="30" t="s">
        <v>8</v>
      </c>
      <c r="B63" s="30" t="s">
        <v>160</v>
      </c>
      <c r="C63" s="31" t="s">
        <v>162</v>
      </c>
      <c r="D63" s="31">
        <v>2026.0</v>
      </c>
      <c r="F63" s="31">
        <v>259.0</v>
      </c>
      <c r="G63" s="4">
        <f t="shared" si="2"/>
        <v>321.6</v>
      </c>
      <c r="H63" s="12">
        <f t="shared" si="1"/>
        <v>0</v>
      </c>
      <c r="I63" s="5" t="s">
        <v>730</v>
      </c>
    </row>
    <row r="64">
      <c r="A64" s="30" t="s">
        <v>8</v>
      </c>
      <c r="B64" s="30" t="s">
        <v>160</v>
      </c>
      <c r="C64" s="31" t="s">
        <v>162</v>
      </c>
      <c r="D64" s="31">
        <v>2028.0</v>
      </c>
      <c r="F64" s="31">
        <v>264.0</v>
      </c>
      <c r="G64" s="4">
        <f t="shared" si="2"/>
        <v>321.6</v>
      </c>
      <c r="H64" s="12">
        <f t="shared" si="1"/>
        <v>0</v>
      </c>
      <c r="I64" s="5" t="s">
        <v>730</v>
      </c>
    </row>
    <row r="65">
      <c r="A65" s="30" t="s">
        <v>8</v>
      </c>
      <c r="B65" s="30" t="s">
        <v>160</v>
      </c>
      <c r="C65" s="31" t="s">
        <v>162</v>
      </c>
      <c r="D65" s="31">
        <v>2030.0</v>
      </c>
      <c r="F65" s="31">
        <v>268.0</v>
      </c>
      <c r="G65" s="4">
        <f t="shared" si="2"/>
        <v>321.6</v>
      </c>
      <c r="H65" s="12">
        <f t="shared" si="1"/>
        <v>0</v>
      </c>
      <c r="I65" s="5" t="s">
        <v>730</v>
      </c>
    </row>
    <row r="66">
      <c r="A66" s="28" t="s">
        <v>8</v>
      </c>
      <c r="B66" s="28" t="s">
        <v>164</v>
      </c>
      <c r="C66" s="29" t="s">
        <v>166</v>
      </c>
      <c r="D66" s="29">
        <v>2024.0</v>
      </c>
      <c r="E66" s="29">
        <v>239.0</v>
      </c>
      <c r="F66" s="28"/>
      <c r="G66" s="12">
        <f t="shared" si="2"/>
        <v>295.2</v>
      </c>
      <c r="H66" s="12">
        <f t="shared" si="1"/>
        <v>1</v>
      </c>
      <c r="I66" s="13" t="s">
        <v>730</v>
      </c>
      <c r="J66" s="12"/>
      <c r="K66" s="12"/>
      <c r="L66" s="12"/>
      <c r="M66" s="12"/>
      <c r="N66" s="12"/>
      <c r="O66" s="12"/>
      <c r="P66" s="12"/>
      <c r="Q66" s="12"/>
      <c r="R66" s="12"/>
      <c r="S66" s="12"/>
      <c r="T66" s="12"/>
      <c r="U66" s="12"/>
      <c r="V66" s="12"/>
      <c r="W66" s="12"/>
      <c r="X66" s="12"/>
      <c r="Y66" s="12"/>
      <c r="Z66" s="12"/>
      <c r="AA66" s="12"/>
      <c r="AB66" s="12"/>
      <c r="AC66" s="12"/>
      <c r="AD66" s="12"/>
    </row>
    <row r="67">
      <c r="A67" s="28" t="s">
        <v>8</v>
      </c>
      <c r="B67" s="28" t="s">
        <v>164</v>
      </c>
      <c r="C67" s="29" t="s">
        <v>166</v>
      </c>
      <c r="D67" s="29">
        <v>2026.0</v>
      </c>
      <c r="E67" s="29"/>
      <c r="F67" s="29">
        <v>241.0</v>
      </c>
      <c r="G67" s="12">
        <f t="shared" si="2"/>
        <v>295.2</v>
      </c>
      <c r="H67" s="12">
        <f t="shared" si="1"/>
        <v>0</v>
      </c>
      <c r="I67" s="13" t="s">
        <v>730</v>
      </c>
      <c r="J67" s="12"/>
      <c r="K67" s="12"/>
      <c r="L67" s="12"/>
      <c r="M67" s="12"/>
      <c r="N67" s="12"/>
      <c r="O67" s="12"/>
      <c r="P67" s="12"/>
      <c r="Q67" s="12"/>
      <c r="R67" s="12"/>
      <c r="S67" s="12"/>
      <c r="T67" s="12"/>
      <c r="U67" s="12"/>
      <c r="V67" s="12"/>
      <c r="W67" s="12"/>
      <c r="X67" s="12"/>
      <c r="Y67" s="12"/>
      <c r="Z67" s="12"/>
      <c r="AA67" s="12"/>
      <c r="AB67" s="12"/>
      <c r="AC67" s="12"/>
      <c r="AD67" s="12"/>
    </row>
    <row r="68">
      <c r="A68" s="28" t="s">
        <v>8</v>
      </c>
      <c r="B68" s="28" t="s">
        <v>164</v>
      </c>
      <c r="C68" s="29" t="s">
        <v>166</v>
      </c>
      <c r="D68" s="29">
        <v>2028.0</v>
      </c>
      <c r="E68" s="29"/>
      <c r="F68" s="29">
        <v>244.0</v>
      </c>
      <c r="G68" s="12">
        <f t="shared" si="2"/>
        <v>295.2</v>
      </c>
      <c r="H68" s="12">
        <f t="shared" si="1"/>
        <v>0</v>
      </c>
      <c r="I68" s="13" t="s">
        <v>730</v>
      </c>
      <c r="J68" s="12"/>
      <c r="K68" s="12"/>
      <c r="L68" s="12"/>
      <c r="M68" s="12"/>
      <c r="N68" s="12"/>
      <c r="O68" s="12"/>
      <c r="P68" s="12"/>
      <c r="Q68" s="12"/>
      <c r="R68" s="12"/>
      <c r="S68" s="12"/>
      <c r="T68" s="12"/>
      <c r="U68" s="12"/>
      <c r="V68" s="12"/>
      <c r="W68" s="12"/>
      <c r="X68" s="12"/>
      <c r="Y68" s="12"/>
      <c r="Z68" s="12"/>
      <c r="AA68" s="12"/>
      <c r="AB68" s="12"/>
      <c r="AC68" s="12"/>
      <c r="AD68" s="12"/>
    </row>
    <row r="69">
      <c r="A69" s="28" t="s">
        <v>8</v>
      </c>
      <c r="B69" s="28" t="s">
        <v>164</v>
      </c>
      <c r="C69" s="29" t="s">
        <v>166</v>
      </c>
      <c r="D69" s="29">
        <v>2030.0</v>
      </c>
      <c r="E69" s="29"/>
      <c r="F69" s="29">
        <v>246.0</v>
      </c>
      <c r="G69" s="12">
        <f t="shared" si="2"/>
        <v>295.2</v>
      </c>
      <c r="H69" s="12">
        <f t="shared" si="1"/>
        <v>0</v>
      </c>
      <c r="I69" s="13" t="s">
        <v>730</v>
      </c>
      <c r="J69" s="12"/>
      <c r="K69" s="12"/>
      <c r="L69" s="12"/>
      <c r="M69" s="12"/>
      <c r="N69" s="12"/>
      <c r="O69" s="12"/>
      <c r="P69" s="12"/>
      <c r="Q69" s="12"/>
      <c r="R69" s="12"/>
      <c r="S69" s="12"/>
      <c r="T69" s="12"/>
      <c r="U69" s="12"/>
      <c r="V69" s="12"/>
      <c r="W69" s="12"/>
      <c r="X69" s="12"/>
      <c r="Y69" s="12"/>
      <c r="Z69" s="12"/>
      <c r="AA69" s="12"/>
      <c r="AB69" s="12"/>
      <c r="AC69" s="12"/>
      <c r="AD69" s="12"/>
    </row>
    <row r="70">
      <c r="A70" s="30" t="s">
        <v>8</v>
      </c>
      <c r="B70" s="30" t="s">
        <v>168</v>
      </c>
      <c r="C70" s="31" t="s">
        <v>170</v>
      </c>
      <c r="D70" s="31">
        <v>2024.0</v>
      </c>
      <c r="E70" s="31">
        <v>276.0</v>
      </c>
      <c r="F70" s="30"/>
      <c r="G70" s="4">
        <f t="shared" si="2"/>
        <v>339.6</v>
      </c>
      <c r="H70" s="12">
        <f t="shared" si="1"/>
        <v>1</v>
      </c>
      <c r="I70" s="5" t="s">
        <v>730</v>
      </c>
    </row>
    <row r="71">
      <c r="A71" s="30" t="s">
        <v>8</v>
      </c>
      <c r="B71" s="30" t="s">
        <v>168</v>
      </c>
      <c r="C71" s="31" t="s">
        <v>170</v>
      </c>
      <c r="D71" s="31">
        <v>2026.0</v>
      </c>
      <c r="F71" s="31">
        <v>278.0</v>
      </c>
      <c r="G71" s="4">
        <f t="shared" si="2"/>
        <v>339.6</v>
      </c>
      <c r="H71" s="12">
        <f t="shared" si="1"/>
        <v>0</v>
      </c>
      <c r="I71" s="5" t="s">
        <v>730</v>
      </c>
    </row>
    <row r="72">
      <c r="A72" s="30" t="s">
        <v>8</v>
      </c>
      <c r="B72" s="30" t="s">
        <v>168</v>
      </c>
      <c r="C72" s="31" t="s">
        <v>170</v>
      </c>
      <c r="D72" s="31">
        <v>2028.0</v>
      </c>
      <c r="F72" s="31">
        <v>281.0</v>
      </c>
      <c r="G72" s="4">
        <f t="shared" si="2"/>
        <v>339.6</v>
      </c>
      <c r="H72" s="12">
        <f t="shared" si="1"/>
        <v>0</v>
      </c>
      <c r="I72" s="5" t="s">
        <v>730</v>
      </c>
    </row>
    <row r="73">
      <c r="A73" s="30" t="s">
        <v>8</v>
      </c>
      <c r="B73" s="30" t="s">
        <v>168</v>
      </c>
      <c r="C73" s="31" t="s">
        <v>170</v>
      </c>
      <c r="D73" s="31">
        <v>2030.0</v>
      </c>
      <c r="F73" s="31">
        <v>283.0</v>
      </c>
      <c r="G73" s="4">
        <f t="shared" si="2"/>
        <v>339.6</v>
      </c>
      <c r="H73" s="12">
        <f t="shared" si="1"/>
        <v>0</v>
      </c>
      <c r="I73" s="5" t="s">
        <v>730</v>
      </c>
    </row>
    <row r="74">
      <c r="A74" s="28" t="s">
        <v>8</v>
      </c>
      <c r="B74" s="28" t="s">
        <v>172</v>
      </c>
      <c r="C74" s="29" t="s">
        <v>174</v>
      </c>
      <c r="D74" s="29">
        <v>2025.0</v>
      </c>
      <c r="E74" s="28"/>
      <c r="F74" s="28"/>
      <c r="G74" s="12">
        <f t="shared" si="2"/>
        <v>0</v>
      </c>
      <c r="H74" s="12">
        <f t="shared" si="1"/>
        <v>0</v>
      </c>
      <c r="I74" s="13" t="s">
        <v>730</v>
      </c>
      <c r="J74" s="12"/>
      <c r="K74" s="12"/>
      <c r="L74" s="12"/>
      <c r="M74" s="12"/>
      <c r="N74" s="12"/>
      <c r="O74" s="12"/>
      <c r="P74" s="12"/>
      <c r="Q74" s="12"/>
      <c r="R74" s="12"/>
      <c r="S74" s="12"/>
      <c r="T74" s="12"/>
      <c r="U74" s="12"/>
      <c r="V74" s="12"/>
      <c r="W74" s="12"/>
      <c r="X74" s="12"/>
      <c r="Y74" s="12"/>
      <c r="Z74" s="12"/>
      <c r="AA74" s="12"/>
      <c r="AB74" s="12"/>
      <c r="AC74" s="12"/>
      <c r="AD74" s="12"/>
    </row>
    <row r="75">
      <c r="A75" s="30" t="s">
        <v>50</v>
      </c>
      <c r="B75" s="30" t="s">
        <v>275</v>
      </c>
      <c r="C75" s="31" t="s">
        <v>277</v>
      </c>
      <c r="D75" s="31">
        <v>2024.0</v>
      </c>
      <c r="E75" s="5">
        <v>83.9</v>
      </c>
      <c r="F75" s="30"/>
      <c r="G75" s="5">
        <v>100.0</v>
      </c>
      <c r="H75" s="12">
        <f t="shared" si="1"/>
        <v>0</v>
      </c>
      <c r="I75" s="5" t="s">
        <v>718</v>
      </c>
      <c r="L75" s="5"/>
    </row>
    <row r="76">
      <c r="A76" s="30" t="s">
        <v>50</v>
      </c>
      <c r="B76" s="30" t="s">
        <v>275</v>
      </c>
      <c r="C76" s="31" t="s">
        <v>277</v>
      </c>
      <c r="D76" s="31">
        <v>2025.0</v>
      </c>
      <c r="E76" s="5">
        <v>83.4</v>
      </c>
      <c r="F76" s="30"/>
      <c r="G76" s="5">
        <v>100.0</v>
      </c>
      <c r="H76" s="12">
        <f t="shared" si="1"/>
        <v>1</v>
      </c>
      <c r="I76" s="5" t="s">
        <v>718</v>
      </c>
      <c r="L76" s="5" t="s">
        <v>731</v>
      </c>
    </row>
    <row r="77">
      <c r="A77" s="30" t="s">
        <v>50</v>
      </c>
      <c r="B77" s="30" t="s">
        <v>275</v>
      </c>
      <c r="C77" s="31" t="s">
        <v>277</v>
      </c>
      <c r="D77" s="31">
        <v>2026.0</v>
      </c>
      <c r="F77" s="5">
        <v>85.0</v>
      </c>
      <c r="G77" s="5">
        <v>100.0</v>
      </c>
      <c r="H77" s="12">
        <f t="shared" si="1"/>
        <v>0</v>
      </c>
      <c r="I77" s="5" t="s">
        <v>718</v>
      </c>
      <c r="L77" s="5" t="s">
        <v>732</v>
      </c>
    </row>
    <row r="78">
      <c r="A78" s="30" t="s">
        <v>50</v>
      </c>
      <c r="B78" s="30" t="s">
        <v>275</v>
      </c>
      <c r="C78" s="31" t="s">
        <v>277</v>
      </c>
      <c r="D78" s="31">
        <v>2027.0</v>
      </c>
      <c r="F78" s="5">
        <v>86.0</v>
      </c>
      <c r="G78" s="5">
        <v>100.0</v>
      </c>
      <c r="H78" s="12">
        <f t="shared" si="1"/>
        <v>0</v>
      </c>
      <c r="I78" s="5" t="s">
        <v>718</v>
      </c>
      <c r="L78" s="5" t="s">
        <v>733</v>
      </c>
    </row>
    <row r="79">
      <c r="A79" s="30" t="s">
        <v>50</v>
      </c>
      <c r="B79" s="30" t="s">
        <v>275</v>
      </c>
      <c r="C79" s="31" t="s">
        <v>277</v>
      </c>
      <c r="D79" s="31">
        <v>2028.0</v>
      </c>
      <c r="F79" s="5">
        <v>87.0</v>
      </c>
      <c r="G79" s="5">
        <v>100.0</v>
      </c>
      <c r="H79" s="12">
        <f t="shared" si="1"/>
        <v>0</v>
      </c>
      <c r="I79" s="5" t="s">
        <v>718</v>
      </c>
    </row>
    <row r="80">
      <c r="A80" s="30" t="s">
        <v>50</v>
      </c>
      <c r="B80" s="30" t="s">
        <v>275</v>
      </c>
      <c r="C80" s="31" t="s">
        <v>277</v>
      </c>
      <c r="D80" s="31">
        <v>2029.0</v>
      </c>
      <c r="F80" s="5">
        <v>88.0</v>
      </c>
      <c r="G80" s="5">
        <v>100.0</v>
      </c>
      <c r="H80" s="12">
        <f t="shared" si="1"/>
        <v>0</v>
      </c>
      <c r="I80" s="5" t="s">
        <v>718</v>
      </c>
    </row>
    <row r="81">
      <c r="A81" s="30" t="s">
        <v>50</v>
      </c>
      <c r="B81" s="30" t="s">
        <v>275</v>
      </c>
      <c r="C81" s="31" t="s">
        <v>277</v>
      </c>
      <c r="D81" s="31">
        <v>2030.0</v>
      </c>
      <c r="F81" s="5">
        <v>89.0</v>
      </c>
      <c r="G81" s="5">
        <v>100.0</v>
      </c>
      <c r="H81" s="12">
        <f t="shared" si="1"/>
        <v>0</v>
      </c>
      <c r="I81" s="5" t="s">
        <v>718</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3" t="s">
        <v>308</v>
      </c>
      <c r="B1" s="33" t="s">
        <v>309</v>
      </c>
    </row>
    <row r="2">
      <c r="A2" s="34" t="s">
        <v>321</v>
      </c>
      <c r="B2" s="34" t="s">
        <v>322</v>
      </c>
    </row>
    <row r="3">
      <c r="A3" s="34" t="s">
        <v>324</v>
      </c>
      <c r="B3" s="34" t="s">
        <v>325</v>
      </c>
    </row>
    <row r="4">
      <c r="A4" s="34" t="s">
        <v>327</v>
      </c>
      <c r="B4" s="34" t="s">
        <v>328</v>
      </c>
    </row>
    <row r="5">
      <c r="A5" s="34" t="s">
        <v>331</v>
      </c>
      <c r="B5" s="34" t="s">
        <v>332</v>
      </c>
    </row>
    <row r="6">
      <c r="A6" s="34" t="s">
        <v>334</v>
      </c>
      <c r="B6" s="34" t="s">
        <v>335</v>
      </c>
    </row>
    <row r="7">
      <c r="A7" s="34" t="s">
        <v>337</v>
      </c>
      <c r="B7" s="34" t="s">
        <v>338</v>
      </c>
    </row>
    <row r="8">
      <c r="A8" s="34" t="s">
        <v>341</v>
      </c>
      <c r="B8" s="34" t="s">
        <v>342</v>
      </c>
    </row>
    <row r="9">
      <c r="A9" s="34" t="s">
        <v>344</v>
      </c>
      <c r="B9" s="34" t="s">
        <v>345</v>
      </c>
    </row>
    <row r="10">
      <c r="A10" s="34" t="s">
        <v>347</v>
      </c>
      <c r="B10" s="34" t="s">
        <v>348</v>
      </c>
    </row>
    <row r="11">
      <c r="A11" s="34" t="s">
        <v>350</v>
      </c>
      <c r="B11" s="34" t="s">
        <v>351</v>
      </c>
    </row>
    <row r="12">
      <c r="A12" s="34" t="s">
        <v>354</v>
      </c>
      <c r="B12" s="34" t="s">
        <v>355</v>
      </c>
    </row>
    <row r="13">
      <c r="A13" s="34" t="s">
        <v>357</v>
      </c>
      <c r="B13" s="34" t="s">
        <v>358</v>
      </c>
    </row>
    <row r="14">
      <c r="A14" s="34" t="s">
        <v>360</v>
      </c>
      <c r="B14" s="34" t="s">
        <v>361</v>
      </c>
    </row>
    <row r="15">
      <c r="A15" s="34" t="s">
        <v>363</v>
      </c>
      <c r="B15" s="34" t="s">
        <v>364</v>
      </c>
    </row>
    <row r="16">
      <c r="A16" s="34" t="s">
        <v>366</v>
      </c>
      <c r="B16" s="34" t="s">
        <v>367</v>
      </c>
    </row>
    <row r="17">
      <c r="A17" s="34" t="s">
        <v>369</v>
      </c>
      <c r="B17" s="34" t="s">
        <v>370</v>
      </c>
    </row>
    <row r="18">
      <c r="A18" s="34" t="s">
        <v>373</v>
      </c>
      <c r="B18" s="34" t="s">
        <v>374</v>
      </c>
    </row>
    <row r="19">
      <c r="A19" s="34" t="s">
        <v>376</v>
      </c>
      <c r="B19" s="34" t="s">
        <v>377</v>
      </c>
    </row>
    <row r="20">
      <c r="A20" s="34" t="s">
        <v>379</v>
      </c>
      <c r="B20" s="34" t="s">
        <v>380</v>
      </c>
    </row>
    <row r="21">
      <c r="A21" s="34" t="s">
        <v>382</v>
      </c>
      <c r="B21" s="34" t="s">
        <v>383</v>
      </c>
    </row>
    <row r="22">
      <c r="A22" s="34" t="s">
        <v>385</v>
      </c>
      <c r="B22" s="34" t="s">
        <v>386</v>
      </c>
    </row>
    <row r="23">
      <c r="A23" s="34" t="s">
        <v>388</v>
      </c>
      <c r="B23" s="34" t="s">
        <v>389</v>
      </c>
    </row>
    <row r="24">
      <c r="A24" s="34" t="s">
        <v>391</v>
      </c>
      <c r="B24" s="34" t="s">
        <v>392</v>
      </c>
    </row>
    <row r="25">
      <c r="A25" s="34" t="s">
        <v>394</v>
      </c>
      <c r="B25" s="34" t="s">
        <v>395</v>
      </c>
    </row>
    <row r="26">
      <c r="A26" s="34" t="s">
        <v>397</v>
      </c>
      <c r="B26" s="34" t="s">
        <v>398</v>
      </c>
    </row>
    <row r="27">
      <c r="A27" s="34" t="s">
        <v>400</v>
      </c>
      <c r="B27" s="34" t="s">
        <v>401</v>
      </c>
    </row>
    <row r="28">
      <c r="A28" s="34" t="s">
        <v>403</v>
      </c>
      <c r="B28" s="34" t="s">
        <v>404</v>
      </c>
    </row>
    <row r="29">
      <c r="A29" s="34" t="s">
        <v>406</v>
      </c>
      <c r="B29" s="34" t="s">
        <v>407</v>
      </c>
    </row>
    <row r="30">
      <c r="A30" s="34" t="s">
        <v>409</v>
      </c>
      <c r="B30" s="34" t="s">
        <v>410</v>
      </c>
    </row>
    <row r="31">
      <c r="A31" s="34" t="s">
        <v>412</v>
      </c>
      <c r="B31" s="34" t="s">
        <v>413</v>
      </c>
    </row>
    <row r="32">
      <c r="A32" s="34" t="s">
        <v>415</v>
      </c>
      <c r="B32" s="34" t="s">
        <v>416</v>
      </c>
    </row>
    <row r="33">
      <c r="A33" s="34" t="s">
        <v>418</v>
      </c>
      <c r="B33" s="34" t="s">
        <v>419</v>
      </c>
    </row>
    <row r="34">
      <c r="A34" s="34" t="s">
        <v>421</v>
      </c>
      <c r="B34" s="34" t="s">
        <v>422</v>
      </c>
    </row>
    <row r="35">
      <c r="A35" s="34" t="s">
        <v>424</v>
      </c>
      <c r="B35" s="34" t="s">
        <v>425</v>
      </c>
    </row>
    <row r="36">
      <c r="A36" s="34" t="s">
        <v>427</v>
      </c>
      <c r="B36" s="34" t="s">
        <v>428</v>
      </c>
    </row>
    <row r="37">
      <c r="A37" s="34" t="s">
        <v>430</v>
      </c>
      <c r="B37" s="34" t="s">
        <v>431</v>
      </c>
    </row>
    <row r="38">
      <c r="A38" s="34" t="s">
        <v>433</v>
      </c>
      <c r="B38" s="34" t="s">
        <v>434</v>
      </c>
    </row>
    <row r="39">
      <c r="A39" s="34" t="s">
        <v>436</v>
      </c>
      <c r="B39" s="34" t="s">
        <v>437</v>
      </c>
    </row>
    <row r="40">
      <c r="A40" s="34" t="s">
        <v>439</v>
      </c>
      <c r="B40" s="34" t="s">
        <v>440</v>
      </c>
    </row>
    <row r="41">
      <c r="A41" s="34" t="s">
        <v>442</v>
      </c>
      <c r="B41" s="34" t="s">
        <v>443</v>
      </c>
    </row>
    <row r="42">
      <c r="A42" s="34" t="s">
        <v>445</v>
      </c>
      <c r="B42" s="34" t="s">
        <v>446</v>
      </c>
    </row>
    <row r="43">
      <c r="A43" s="34" t="s">
        <v>448</v>
      </c>
      <c r="B43" s="34" t="s">
        <v>449</v>
      </c>
    </row>
    <row r="44">
      <c r="A44" s="34" t="s">
        <v>451</v>
      </c>
      <c r="B44" s="34" t="s">
        <v>452</v>
      </c>
    </row>
    <row r="45">
      <c r="A45" s="34" t="s">
        <v>454</v>
      </c>
      <c r="B45" s="34" t="s">
        <v>455</v>
      </c>
    </row>
    <row r="46">
      <c r="A46" s="34" t="s">
        <v>457</v>
      </c>
      <c r="B46" s="34" t="s">
        <v>458</v>
      </c>
    </row>
    <row r="47">
      <c r="A47" s="34" t="s">
        <v>460</v>
      </c>
      <c r="B47" s="34" t="s">
        <v>461</v>
      </c>
    </row>
    <row r="48">
      <c r="A48" s="34" t="s">
        <v>463</v>
      </c>
      <c r="B48" s="34" t="s">
        <v>464</v>
      </c>
    </row>
    <row r="49">
      <c r="A49" s="34" t="s">
        <v>466</v>
      </c>
      <c r="B49" s="34" t="s">
        <v>467</v>
      </c>
    </row>
    <row r="50">
      <c r="A50" s="34" t="s">
        <v>469</v>
      </c>
      <c r="B50" s="34" t="s">
        <v>470</v>
      </c>
    </row>
    <row r="51">
      <c r="A51" s="34" t="s">
        <v>472</v>
      </c>
      <c r="B51" s="34" t="s">
        <v>473</v>
      </c>
    </row>
    <row r="52">
      <c r="A52" s="34" t="s">
        <v>475</v>
      </c>
      <c r="B52" s="34" t="s">
        <v>476</v>
      </c>
    </row>
    <row r="53">
      <c r="A53" s="34" t="s">
        <v>478</v>
      </c>
      <c r="B53" s="34" t="s">
        <v>479</v>
      </c>
    </row>
    <row r="54">
      <c r="A54" s="34" t="s">
        <v>481</v>
      </c>
      <c r="B54" s="34" t="s">
        <v>482</v>
      </c>
    </row>
    <row r="55">
      <c r="A55" s="34" t="s">
        <v>484</v>
      </c>
      <c r="B55" s="34" t="s">
        <v>485</v>
      </c>
    </row>
    <row r="56">
      <c r="A56" s="34" t="s">
        <v>487</v>
      </c>
      <c r="B56" s="34" t="s">
        <v>488</v>
      </c>
    </row>
    <row r="57">
      <c r="A57" s="34" t="s">
        <v>490</v>
      </c>
      <c r="B57" s="34" t="s">
        <v>491</v>
      </c>
    </row>
    <row r="58">
      <c r="A58" s="34" t="s">
        <v>493</v>
      </c>
      <c r="B58" s="34" t="s">
        <v>494</v>
      </c>
    </row>
    <row r="59">
      <c r="A59" s="34" t="s">
        <v>496</v>
      </c>
      <c r="B59" s="34" t="s">
        <v>497</v>
      </c>
    </row>
    <row r="60">
      <c r="A60" s="34" t="s">
        <v>499</v>
      </c>
      <c r="B60" s="34" t="s">
        <v>500</v>
      </c>
    </row>
    <row r="61">
      <c r="A61" s="34" t="s">
        <v>502</v>
      </c>
      <c r="B61" s="34" t="s">
        <v>503</v>
      </c>
    </row>
    <row r="62">
      <c r="A62" s="34" t="s">
        <v>505</v>
      </c>
      <c r="B62" s="34" t="s">
        <v>506</v>
      </c>
    </row>
    <row r="63">
      <c r="A63" s="34" t="s">
        <v>508</v>
      </c>
      <c r="B63" s="34" t="s">
        <v>509</v>
      </c>
    </row>
    <row r="64">
      <c r="A64" s="34" t="s">
        <v>511</v>
      </c>
      <c r="B64" s="34" t="s">
        <v>512</v>
      </c>
    </row>
    <row r="65">
      <c r="A65" s="34" t="s">
        <v>514</v>
      </c>
      <c r="B65" s="34" t="s">
        <v>515</v>
      </c>
    </row>
    <row r="66">
      <c r="A66" s="34" t="s">
        <v>517</v>
      </c>
      <c r="B66" s="34" t="s">
        <v>518</v>
      </c>
    </row>
    <row r="67">
      <c r="A67" s="34" t="s">
        <v>520</v>
      </c>
      <c r="B67" s="34" t="s">
        <v>521</v>
      </c>
    </row>
    <row r="68">
      <c r="A68" s="34" t="s">
        <v>523</v>
      </c>
      <c r="B68" s="34" t="s">
        <v>524</v>
      </c>
    </row>
    <row r="69">
      <c r="A69" s="34" t="s">
        <v>526</v>
      </c>
      <c r="B69" s="34" t="s">
        <v>527</v>
      </c>
    </row>
    <row r="70">
      <c r="A70" s="34" t="s">
        <v>529</v>
      </c>
      <c r="B70" s="34" t="s">
        <v>530</v>
      </c>
    </row>
    <row r="71">
      <c r="A71" s="34" t="s">
        <v>532</v>
      </c>
      <c r="B71" s="34" t="s">
        <v>533</v>
      </c>
    </row>
    <row r="72">
      <c r="A72" s="34" t="s">
        <v>535</v>
      </c>
      <c r="B72" s="34" t="s">
        <v>536</v>
      </c>
    </row>
    <row r="73">
      <c r="A73" s="34" t="s">
        <v>538</v>
      </c>
      <c r="B73" s="34" t="s">
        <v>539</v>
      </c>
    </row>
    <row r="74">
      <c r="A74" s="34" t="s">
        <v>541</v>
      </c>
      <c r="B74" s="34" t="s">
        <v>542</v>
      </c>
    </row>
    <row r="75">
      <c r="A75" s="34" t="s">
        <v>544</v>
      </c>
      <c r="B75" s="34" t="s">
        <v>545</v>
      </c>
    </row>
    <row r="76">
      <c r="A76" s="34" t="s">
        <v>547</v>
      </c>
      <c r="B76" s="34" t="s">
        <v>548</v>
      </c>
    </row>
    <row r="77">
      <c r="A77" s="34" t="s">
        <v>550</v>
      </c>
      <c r="B77" s="34" t="s">
        <v>551</v>
      </c>
    </row>
    <row r="78">
      <c r="A78" s="34" t="s">
        <v>553</v>
      </c>
      <c r="B78" s="34" t="s">
        <v>554</v>
      </c>
    </row>
    <row r="79">
      <c r="A79" s="34" t="s">
        <v>556</v>
      </c>
      <c r="B79" s="34" t="s">
        <v>557</v>
      </c>
    </row>
    <row r="80">
      <c r="A80" s="34" t="s">
        <v>559</v>
      </c>
      <c r="B80" s="34" t="s">
        <v>560</v>
      </c>
    </row>
    <row r="81">
      <c r="A81" s="34" t="s">
        <v>562</v>
      </c>
      <c r="B81" s="34" t="s">
        <v>563</v>
      </c>
    </row>
    <row r="82">
      <c r="A82" s="34" t="s">
        <v>565</v>
      </c>
      <c r="B82" s="34" t="s">
        <v>566</v>
      </c>
    </row>
    <row r="83">
      <c r="A83" s="34" t="s">
        <v>568</v>
      </c>
      <c r="B83" s="34" t="s">
        <v>569</v>
      </c>
    </row>
    <row r="84">
      <c r="A84" s="34" t="s">
        <v>571</v>
      </c>
      <c r="B84" s="34" t="s">
        <v>572</v>
      </c>
    </row>
    <row r="85">
      <c r="A85" s="34" t="s">
        <v>574</v>
      </c>
      <c r="B85" s="34" t="s">
        <v>575</v>
      </c>
    </row>
    <row r="86">
      <c r="A86" s="34" t="s">
        <v>577</v>
      </c>
      <c r="B86" s="34" t="s">
        <v>578</v>
      </c>
    </row>
    <row r="87">
      <c r="A87" s="34" t="s">
        <v>580</v>
      </c>
      <c r="B87" s="34" t="s">
        <v>581</v>
      </c>
    </row>
    <row r="88">
      <c r="A88" s="34" t="s">
        <v>583</v>
      </c>
      <c r="B88" s="34" t="s">
        <v>584</v>
      </c>
    </row>
    <row r="89">
      <c r="A89" s="34" t="s">
        <v>586</v>
      </c>
      <c r="B89" s="34" t="s">
        <v>587</v>
      </c>
    </row>
    <row r="90">
      <c r="A90" s="34" t="s">
        <v>589</v>
      </c>
      <c r="B90" s="34" t="s">
        <v>590</v>
      </c>
    </row>
    <row r="91">
      <c r="A91" s="34" t="s">
        <v>592</v>
      </c>
      <c r="B91" s="34" t="s">
        <v>593</v>
      </c>
    </row>
    <row r="92">
      <c r="A92" s="34" t="s">
        <v>595</v>
      </c>
      <c r="B92" s="34" t="s">
        <v>596</v>
      </c>
    </row>
    <row r="93">
      <c r="A93" s="34" t="s">
        <v>598</v>
      </c>
      <c r="B93" s="34" t="s">
        <v>599</v>
      </c>
    </row>
    <row r="94">
      <c r="A94" s="34" t="s">
        <v>601</v>
      </c>
      <c r="B94" s="34" t="s">
        <v>602</v>
      </c>
    </row>
    <row r="95">
      <c r="A95" s="34" t="s">
        <v>604</v>
      </c>
      <c r="B95" s="34" t="s">
        <v>605</v>
      </c>
    </row>
    <row r="96">
      <c r="A96" s="34" t="s">
        <v>607</v>
      </c>
      <c r="B96" s="34" t="s">
        <v>608</v>
      </c>
    </row>
    <row r="97">
      <c r="A97" s="34" t="s">
        <v>610</v>
      </c>
      <c r="B97" s="34" t="s">
        <v>611</v>
      </c>
    </row>
    <row r="98">
      <c r="A98" s="34" t="s">
        <v>613</v>
      </c>
      <c r="B98" s="34" t="s">
        <v>614</v>
      </c>
    </row>
    <row r="99">
      <c r="A99" s="34" t="s">
        <v>616</v>
      </c>
      <c r="B99" s="34" t="s">
        <v>617</v>
      </c>
    </row>
    <row r="100">
      <c r="A100" s="34" t="s">
        <v>619</v>
      </c>
      <c r="B100" s="34" t="s">
        <v>620</v>
      </c>
    </row>
    <row r="101">
      <c r="A101" s="34" t="s">
        <v>622</v>
      </c>
      <c r="B101" s="34" t="s">
        <v>623</v>
      </c>
    </row>
    <row r="102">
      <c r="A102" s="34" t="s">
        <v>625</v>
      </c>
      <c r="B102" s="34" t="s">
        <v>626</v>
      </c>
    </row>
    <row r="103">
      <c r="A103" s="34" t="s">
        <v>628</v>
      </c>
      <c r="B103" s="34" t="s">
        <v>629</v>
      </c>
    </row>
    <row r="104">
      <c r="A104" s="34" t="s">
        <v>631</v>
      </c>
      <c r="B104" s="34" t="s">
        <v>632</v>
      </c>
    </row>
    <row r="105">
      <c r="A105" s="34" t="s">
        <v>634</v>
      </c>
      <c r="B105" s="34" t="s">
        <v>635</v>
      </c>
    </row>
    <row r="106">
      <c r="A106" s="34" t="s">
        <v>637</v>
      </c>
      <c r="B106" s="34" t="s">
        <v>638</v>
      </c>
    </row>
    <row r="107">
      <c r="A107" s="34" t="s">
        <v>640</v>
      </c>
      <c r="B107" s="34" t="s">
        <v>641</v>
      </c>
    </row>
    <row r="108">
      <c r="A108" s="34" t="s">
        <v>643</v>
      </c>
      <c r="B108" s="34" t="s">
        <v>644</v>
      </c>
    </row>
    <row r="109">
      <c r="A109" s="34" t="s">
        <v>646</v>
      </c>
      <c r="B109" s="34" t="s">
        <v>647</v>
      </c>
    </row>
    <row r="110">
      <c r="A110" s="34" t="s">
        <v>649</v>
      </c>
      <c r="B110" s="34" t="s">
        <v>650</v>
      </c>
    </row>
    <row r="111">
      <c r="A111" s="35"/>
      <c r="B111" s="36"/>
    </row>
    <row r="112">
      <c r="A112" s="36"/>
      <c r="B112" s="36"/>
    </row>
    <row r="113">
      <c r="A113" s="36"/>
      <c r="B113" s="36"/>
    </row>
    <row r="114">
      <c r="A114" s="36"/>
      <c r="B114" s="36"/>
    </row>
    <row r="115">
      <c r="A115" s="36"/>
      <c r="B115" s="36"/>
    </row>
    <row r="116">
      <c r="A116" s="36"/>
      <c r="B116" s="36"/>
    </row>
    <row r="117">
      <c r="A117" s="36"/>
      <c r="B117" s="36"/>
    </row>
    <row r="118">
      <c r="A118" s="36"/>
      <c r="B118" s="36"/>
    </row>
    <row r="119">
      <c r="A119" s="36"/>
      <c r="B119" s="36"/>
    </row>
    <row r="120">
      <c r="A120" s="36"/>
      <c r="B120" s="36"/>
    </row>
    <row r="121">
      <c r="A121" s="36"/>
      <c r="B121" s="36"/>
    </row>
    <row r="122">
      <c r="A122" s="36"/>
      <c r="B122" s="36"/>
    </row>
    <row r="123">
      <c r="A123" s="36"/>
      <c r="B123" s="36"/>
    </row>
    <row r="124">
      <c r="A124" s="36"/>
      <c r="B124" s="36"/>
    </row>
    <row r="125">
      <c r="A125" s="36"/>
      <c r="B125" s="36"/>
    </row>
    <row r="126">
      <c r="A126" s="36"/>
      <c r="B126" s="36"/>
    </row>
    <row r="127">
      <c r="A127" s="36"/>
      <c r="B127" s="36"/>
    </row>
    <row r="128">
      <c r="A128" s="36"/>
      <c r="B128" s="36"/>
    </row>
    <row r="129">
      <c r="A129" s="36"/>
      <c r="B129" s="36"/>
    </row>
    <row r="130">
      <c r="A130" s="36"/>
      <c r="B130" s="36"/>
    </row>
    <row r="131">
      <c r="A131" s="36"/>
      <c r="B131" s="36"/>
    </row>
    <row r="132">
      <c r="A132" s="36"/>
      <c r="B132" s="36"/>
    </row>
    <row r="133">
      <c r="A133" s="36"/>
      <c r="B133" s="36"/>
    </row>
    <row r="134">
      <c r="A134" s="36"/>
      <c r="B134" s="36"/>
    </row>
    <row r="135">
      <c r="A135" s="36"/>
      <c r="B135" s="36"/>
    </row>
    <row r="136">
      <c r="A136" s="36"/>
      <c r="B136" s="36"/>
    </row>
    <row r="137">
      <c r="A137" s="36"/>
      <c r="B137" s="36"/>
    </row>
    <row r="138">
      <c r="A138" s="36"/>
      <c r="B138" s="36"/>
    </row>
    <row r="139">
      <c r="A139" s="36"/>
      <c r="B139" s="36"/>
    </row>
    <row r="140">
      <c r="A140" s="36"/>
      <c r="B140" s="36"/>
    </row>
    <row r="141">
      <c r="A141" s="36"/>
      <c r="B141" s="36"/>
    </row>
    <row r="142">
      <c r="A142" s="36"/>
      <c r="B142" s="36"/>
    </row>
    <row r="143">
      <c r="A143" s="36"/>
      <c r="B143" s="36"/>
    </row>
    <row r="144">
      <c r="A144" s="36"/>
      <c r="B144" s="36"/>
    </row>
    <row r="145">
      <c r="A145" s="36"/>
      <c r="B145" s="36"/>
    </row>
    <row r="146">
      <c r="A146" s="36"/>
      <c r="B146" s="36"/>
    </row>
    <row r="147">
      <c r="A147" s="36"/>
      <c r="B147" s="36"/>
    </row>
    <row r="148">
      <c r="A148" s="36"/>
      <c r="B148" s="36"/>
    </row>
    <row r="149">
      <c r="A149" s="36"/>
      <c r="B149" s="36"/>
    </row>
    <row r="150">
      <c r="A150" s="36"/>
      <c r="B150" s="36"/>
    </row>
    <row r="151">
      <c r="A151" s="36"/>
      <c r="B151" s="36"/>
    </row>
    <row r="152">
      <c r="A152" s="36"/>
      <c r="B152" s="36"/>
    </row>
    <row r="153">
      <c r="A153" s="36"/>
      <c r="B153" s="36"/>
    </row>
    <row r="154">
      <c r="A154" s="36"/>
      <c r="B154" s="36"/>
    </row>
    <row r="155">
      <c r="A155" s="36"/>
      <c r="B155" s="36"/>
    </row>
    <row r="156">
      <c r="A156" s="36"/>
      <c r="B156" s="36"/>
    </row>
    <row r="157">
      <c r="A157" s="36"/>
      <c r="B157" s="36"/>
    </row>
    <row r="158">
      <c r="A158" s="36"/>
      <c r="B158" s="36"/>
    </row>
    <row r="159">
      <c r="A159" s="36"/>
      <c r="B159" s="36"/>
    </row>
    <row r="160">
      <c r="A160" s="36"/>
      <c r="B160" s="36"/>
    </row>
    <row r="161">
      <c r="A161" s="36"/>
      <c r="B161" s="36"/>
    </row>
    <row r="162">
      <c r="A162" s="36"/>
      <c r="B162" s="36"/>
    </row>
    <row r="163">
      <c r="A163" s="36"/>
      <c r="B163" s="36"/>
    </row>
    <row r="164">
      <c r="A164" s="36"/>
      <c r="B164" s="36"/>
    </row>
    <row r="165">
      <c r="A165" s="36"/>
      <c r="B165" s="36"/>
    </row>
    <row r="166">
      <c r="A166" s="36"/>
      <c r="B166" s="36"/>
    </row>
    <row r="167">
      <c r="A167" s="36"/>
      <c r="B167" s="36"/>
    </row>
    <row r="168">
      <c r="A168" s="36"/>
      <c r="B168" s="36"/>
    </row>
    <row r="169">
      <c r="A169" s="36"/>
      <c r="B169" s="36"/>
    </row>
    <row r="170">
      <c r="A170" s="36"/>
      <c r="B170" s="36"/>
    </row>
    <row r="171">
      <c r="A171" s="36"/>
      <c r="B171" s="36"/>
    </row>
    <row r="172">
      <c r="A172" s="36"/>
      <c r="B172" s="36"/>
    </row>
    <row r="173">
      <c r="A173" s="36"/>
      <c r="B173" s="36"/>
    </row>
    <row r="174">
      <c r="A174" s="36"/>
      <c r="B174" s="36"/>
    </row>
    <row r="175">
      <c r="A175" s="36"/>
      <c r="B175" s="36"/>
    </row>
    <row r="176">
      <c r="A176" s="36"/>
      <c r="B176" s="36"/>
    </row>
    <row r="177">
      <c r="A177" s="36"/>
      <c r="B177" s="36"/>
    </row>
    <row r="178">
      <c r="A178" s="36"/>
      <c r="B178" s="36"/>
    </row>
    <row r="179">
      <c r="A179" s="36"/>
      <c r="B179" s="36"/>
    </row>
    <row r="180">
      <c r="A180" s="36"/>
      <c r="B180" s="36"/>
    </row>
    <row r="181">
      <c r="A181" s="36"/>
      <c r="B181" s="36"/>
    </row>
    <row r="182">
      <c r="A182" s="36"/>
      <c r="B182" s="36"/>
    </row>
    <row r="183">
      <c r="A183" s="36"/>
      <c r="B183" s="36"/>
    </row>
    <row r="184">
      <c r="A184" s="36"/>
      <c r="B184" s="36"/>
    </row>
    <row r="185">
      <c r="A185" s="36"/>
      <c r="B185" s="36"/>
    </row>
    <row r="186">
      <c r="A186" s="36"/>
      <c r="B186" s="36"/>
    </row>
    <row r="187">
      <c r="A187" s="36"/>
      <c r="B187" s="36"/>
    </row>
    <row r="188">
      <c r="A188" s="36"/>
      <c r="B188" s="36"/>
    </row>
    <row r="189">
      <c r="A189" s="36"/>
      <c r="B189" s="36"/>
    </row>
    <row r="190">
      <c r="A190" s="36"/>
      <c r="B190" s="36"/>
    </row>
    <row r="191">
      <c r="A191" s="36"/>
      <c r="B191" s="36"/>
    </row>
    <row r="192">
      <c r="A192" s="36"/>
      <c r="B192" s="36"/>
    </row>
    <row r="193">
      <c r="A193" s="36"/>
      <c r="B193" s="36"/>
    </row>
    <row r="194">
      <c r="A194" s="36"/>
      <c r="B194" s="36"/>
    </row>
    <row r="195">
      <c r="A195" s="36"/>
      <c r="B195" s="36"/>
    </row>
    <row r="196">
      <c r="A196" s="36"/>
      <c r="B196" s="36"/>
    </row>
    <row r="197">
      <c r="A197" s="36"/>
      <c r="B197" s="36"/>
    </row>
    <row r="198">
      <c r="A198" s="36"/>
      <c r="B198" s="36"/>
    </row>
    <row r="199">
      <c r="A199" s="36"/>
      <c r="B199" s="36"/>
    </row>
    <row r="200">
      <c r="A200" s="36"/>
      <c r="B200" s="36"/>
    </row>
    <row r="201">
      <c r="A201" s="36"/>
      <c r="B201" s="36"/>
    </row>
    <row r="202">
      <c r="A202" s="36"/>
      <c r="B202" s="36"/>
    </row>
    <row r="203">
      <c r="A203" s="36"/>
      <c r="B203" s="36"/>
    </row>
    <row r="204">
      <c r="A204" s="36"/>
      <c r="B204" s="36"/>
    </row>
    <row r="205">
      <c r="A205" s="36"/>
      <c r="B205" s="36"/>
    </row>
    <row r="206">
      <c r="A206" s="36"/>
      <c r="B206" s="36"/>
    </row>
    <row r="207">
      <c r="A207" s="36"/>
      <c r="B207" s="36"/>
    </row>
    <row r="208">
      <c r="A208" s="36"/>
      <c r="B208" s="36"/>
    </row>
    <row r="209">
      <c r="A209" s="36"/>
      <c r="B209" s="36"/>
    </row>
    <row r="210">
      <c r="A210" s="36"/>
      <c r="B210" s="36"/>
    </row>
    <row r="211">
      <c r="A211" s="36"/>
      <c r="B211" s="36"/>
    </row>
    <row r="212">
      <c r="A212" s="36"/>
      <c r="B212" s="36"/>
    </row>
    <row r="213">
      <c r="A213" s="36"/>
      <c r="B213" s="36"/>
    </row>
    <row r="214">
      <c r="A214" s="36"/>
      <c r="B214" s="36"/>
    </row>
    <row r="215">
      <c r="A215" s="36"/>
      <c r="B215" s="36"/>
    </row>
    <row r="216">
      <c r="A216" s="36"/>
      <c r="B216" s="36"/>
    </row>
    <row r="217">
      <c r="A217" s="36"/>
      <c r="B217" s="36"/>
    </row>
    <row r="218">
      <c r="A218" s="36"/>
      <c r="B218" s="36"/>
    </row>
    <row r="219">
      <c r="A219" s="36"/>
      <c r="B219" s="36"/>
    </row>
    <row r="220">
      <c r="A220" s="36"/>
      <c r="B220" s="36"/>
    </row>
    <row r="221">
      <c r="A221" s="36"/>
      <c r="B221" s="36"/>
    </row>
    <row r="222">
      <c r="A222" s="36"/>
      <c r="B222" s="36"/>
    </row>
    <row r="223">
      <c r="A223" s="36"/>
      <c r="B223" s="36"/>
    </row>
    <row r="224">
      <c r="A224" s="36"/>
      <c r="B224" s="36"/>
    </row>
    <row r="225">
      <c r="A225" s="36"/>
      <c r="B225" s="36"/>
    </row>
    <row r="226">
      <c r="A226" s="36"/>
      <c r="B226" s="36"/>
    </row>
    <row r="227">
      <c r="A227" s="36"/>
      <c r="B227" s="36"/>
    </row>
    <row r="228">
      <c r="A228" s="36"/>
      <c r="B228" s="36"/>
    </row>
    <row r="229">
      <c r="A229" s="36"/>
      <c r="B229" s="36"/>
    </row>
    <row r="230">
      <c r="A230" s="36"/>
      <c r="B230" s="36"/>
    </row>
    <row r="231">
      <c r="A231" s="36"/>
      <c r="B231" s="36"/>
    </row>
    <row r="232">
      <c r="A232" s="36"/>
      <c r="B232" s="36"/>
    </row>
    <row r="233">
      <c r="A233" s="36"/>
      <c r="B233" s="36"/>
    </row>
    <row r="234">
      <c r="A234" s="36"/>
      <c r="B234" s="36"/>
    </row>
    <row r="235">
      <c r="A235" s="36"/>
      <c r="B235" s="36"/>
    </row>
    <row r="236">
      <c r="A236" s="36"/>
      <c r="B236" s="36"/>
    </row>
    <row r="237">
      <c r="A237" s="36"/>
      <c r="B237" s="36"/>
    </row>
    <row r="238">
      <c r="A238" s="36"/>
      <c r="B238" s="36"/>
    </row>
    <row r="239">
      <c r="A239" s="36"/>
      <c r="B239" s="36"/>
    </row>
    <row r="240">
      <c r="A240" s="36"/>
      <c r="B240" s="36"/>
    </row>
    <row r="241">
      <c r="A241" s="36"/>
      <c r="B241" s="36"/>
    </row>
    <row r="242">
      <c r="A242" s="36"/>
      <c r="B242" s="36"/>
    </row>
    <row r="243">
      <c r="A243" s="36"/>
      <c r="B243" s="36"/>
    </row>
    <row r="244">
      <c r="A244" s="36"/>
      <c r="B244" s="36"/>
    </row>
    <row r="245">
      <c r="A245" s="36"/>
      <c r="B245" s="36"/>
    </row>
    <row r="246">
      <c r="A246" s="36"/>
      <c r="B246" s="36"/>
    </row>
    <row r="247">
      <c r="A247" s="36"/>
      <c r="B247" s="36"/>
    </row>
    <row r="248">
      <c r="A248" s="36"/>
      <c r="B248" s="36"/>
    </row>
    <row r="249">
      <c r="A249" s="36"/>
      <c r="B249" s="36"/>
    </row>
    <row r="250">
      <c r="A250" s="36"/>
      <c r="B250" s="36"/>
    </row>
    <row r="251">
      <c r="A251" s="36"/>
      <c r="B251" s="36"/>
    </row>
    <row r="252">
      <c r="A252" s="36"/>
      <c r="B252" s="36"/>
    </row>
    <row r="253">
      <c r="A253" s="36"/>
      <c r="B253" s="36"/>
    </row>
    <row r="254">
      <c r="A254" s="36"/>
      <c r="B254" s="36"/>
    </row>
    <row r="255">
      <c r="A255" s="36"/>
      <c r="B255" s="36"/>
    </row>
    <row r="256">
      <c r="A256" s="36"/>
      <c r="B256" s="36"/>
    </row>
    <row r="257">
      <c r="A257" s="36"/>
      <c r="B257" s="36"/>
    </row>
    <row r="258">
      <c r="A258" s="36"/>
      <c r="B258" s="36"/>
    </row>
    <row r="259">
      <c r="A259" s="36"/>
      <c r="B259" s="36"/>
    </row>
    <row r="260">
      <c r="A260" s="36"/>
      <c r="B260" s="36"/>
    </row>
    <row r="261">
      <c r="A261" s="36"/>
      <c r="B261" s="36"/>
    </row>
    <row r="262">
      <c r="A262" s="36"/>
      <c r="B262" s="36"/>
    </row>
    <row r="263">
      <c r="A263" s="36"/>
      <c r="B263" s="36"/>
    </row>
    <row r="264">
      <c r="A264" s="36"/>
      <c r="B264" s="36"/>
    </row>
    <row r="265">
      <c r="A265" s="36"/>
      <c r="B265" s="36"/>
    </row>
    <row r="266">
      <c r="A266" s="36"/>
      <c r="B266" s="36"/>
    </row>
    <row r="267">
      <c r="A267" s="36"/>
      <c r="B267" s="36"/>
    </row>
    <row r="268">
      <c r="A268" s="36"/>
      <c r="B268" s="36"/>
    </row>
    <row r="269">
      <c r="A269" s="36"/>
      <c r="B269" s="36"/>
    </row>
    <row r="270">
      <c r="A270" s="36"/>
      <c r="B270" s="36"/>
    </row>
    <row r="271">
      <c r="A271" s="36"/>
      <c r="B271" s="36"/>
    </row>
    <row r="272">
      <c r="A272" s="36"/>
      <c r="B272" s="36"/>
    </row>
    <row r="273">
      <c r="A273" s="36"/>
      <c r="B273" s="36"/>
    </row>
    <row r="274">
      <c r="A274" s="36"/>
      <c r="B274" s="36"/>
    </row>
    <row r="275">
      <c r="A275" s="36"/>
      <c r="B275" s="36"/>
    </row>
    <row r="276">
      <c r="A276" s="36"/>
      <c r="B276" s="36"/>
    </row>
    <row r="277">
      <c r="A277" s="36"/>
      <c r="B277" s="36"/>
    </row>
    <row r="278">
      <c r="A278" s="36"/>
      <c r="B278" s="36"/>
    </row>
    <row r="279">
      <c r="A279" s="36"/>
      <c r="B279" s="36"/>
    </row>
    <row r="280">
      <c r="A280" s="36"/>
      <c r="B280" s="36"/>
    </row>
    <row r="281">
      <c r="A281" s="36"/>
      <c r="B281" s="36"/>
    </row>
    <row r="282">
      <c r="A282" s="36"/>
      <c r="B282" s="36"/>
    </row>
    <row r="283">
      <c r="A283" s="36"/>
      <c r="B283" s="36"/>
    </row>
    <row r="284">
      <c r="A284" s="36"/>
      <c r="B284" s="36"/>
    </row>
    <row r="285">
      <c r="A285" s="36"/>
      <c r="B285" s="36"/>
    </row>
    <row r="286">
      <c r="A286" s="36"/>
      <c r="B286" s="36"/>
    </row>
    <row r="287">
      <c r="A287" s="36"/>
      <c r="B287" s="36"/>
    </row>
    <row r="288">
      <c r="A288" s="36"/>
      <c r="B288" s="36"/>
    </row>
    <row r="289">
      <c r="A289" s="36"/>
      <c r="B289" s="36"/>
    </row>
    <row r="290">
      <c r="A290" s="36"/>
      <c r="B290" s="36"/>
    </row>
    <row r="291">
      <c r="A291" s="36"/>
      <c r="B291" s="36"/>
    </row>
    <row r="292">
      <c r="A292" s="36"/>
      <c r="B292" s="36"/>
    </row>
    <row r="293">
      <c r="A293" s="36"/>
      <c r="B293" s="36"/>
    </row>
    <row r="294">
      <c r="A294" s="36"/>
      <c r="B294" s="36"/>
    </row>
    <row r="295">
      <c r="A295" s="36"/>
      <c r="B295" s="36"/>
    </row>
    <row r="296">
      <c r="A296" s="36"/>
      <c r="B296" s="36"/>
    </row>
    <row r="297">
      <c r="A297" s="36"/>
      <c r="B297" s="36"/>
    </row>
    <row r="298">
      <c r="A298" s="36"/>
      <c r="B298" s="36"/>
    </row>
    <row r="299">
      <c r="A299" s="36"/>
      <c r="B299" s="36"/>
    </row>
    <row r="300">
      <c r="A300" s="36"/>
      <c r="B300" s="36"/>
    </row>
    <row r="301">
      <c r="A301" s="36"/>
      <c r="B301" s="36"/>
    </row>
    <row r="302">
      <c r="A302" s="36"/>
      <c r="B302" s="36"/>
    </row>
    <row r="303">
      <c r="A303" s="36"/>
      <c r="B303" s="36"/>
    </row>
    <row r="304">
      <c r="A304" s="36"/>
      <c r="B304" s="36"/>
    </row>
    <row r="305">
      <c r="A305" s="36"/>
      <c r="B305" s="36"/>
    </row>
    <row r="306">
      <c r="A306" s="36"/>
      <c r="B306" s="36"/>
    </row>
    <row r="307">
      <c r="A307" s="36"/>
      <c r="B307" s="36"/>
    </row>
    <row r="308">
      <c r="A308" s="36"/>
      <c r="B308" s="36"/>
    </row>
    <row r="309">
      <c r="A309" s="36"/>
      <c r="B309" s="36"/>
    </row>
    <row r="310">
      <c r="A310" s="36"/>
      <c r="B310" s="36"/>
    </row>
    <row r="311">
      <c r="A311" s="36"/>
      <c r="B311" s="36"/>
    </row>
    <row r="312">
      <c r="A312" s="36"/>
      <c r="B312" s="36"/>
    </row>
    <row r="313">
      <c r="A313" s="36"/>
      <c r="B313" s="36"/>
    </row>
    <row r="314">
      <c r="A314" s="36"/>
      <c r="B314" s="36"/>
    </row>
    <row r="315">
      <c r="A315" s="36"/>
      <c r="B315" s="36"/>
    </row>
    <row r="316">
      <c r="A316" s="36"/>
      <c r="B316" s="36"/>
    </row>
    <row r="317">
      <c r="A317" s="36"/>
      <c r="B317" s="36"/>
    </row>
    <row r="318">
      <c r="A318" s="36"/>
      <c r="B318" s="36"/>
    </row>
    <row r="319">
      <c r="A319" s="36"/>
      <c r="B319" s="36"/>
    </row>
    <row r="320">
      <c r="A320" s="36"/>
      <c r="B320" s="36"/>
    </row>
    <row r="321">
      <c r="A321" s="36"/>
      <c r="B321" s="36"/>
    </row>
    <row r="322">
      <c r="A322" s="36"/>
      <c r="B322" s="36"/>
    </row>
    <row r="323">
      <c r="A323" s="36"/>
      <c r="B323" s="36"/>
    </row>
    <row r="324">
      <c r="A324" s="36"/>
      <c r="B324" s="36"/>
    </row>
    <row r="325">
      <c r="A325" s="36"/>
      <c r="B325" s="36"/>
    </row>
    <row r="326">
      <c r="A326" s="36"/>
      <c r="B326" s="36"/>
    </row>
    <row r="327">
      <c r="A327" s="36"/>
      <c r="B327" s="36"/>
    </row>
    <row r="328">
      <c r="A328" s="36"/>
      <c r="B328" s="36"/>
    </row>
    <row r="329">
      <c r="A329" s="36"/>
      <c r="B329" s="36"/>
    </row>
    <row r="330">
      <c r="A330" s="36"/>
      <c r="B330" s="36"/>
    </row>
    <row r="331">
      <c r="A331" s="36"/>
      <c r="B331" s="36"/>
    </row>
    <row r="332">
      <c r="A332" s="36"/>
      <c r="B332" s="36"/>
    </row>
    <row r="333">
      <c r="A333" s="36"/>
      <c r="B333" s="36"/>
    </row>
    <row r="334">
      <c r="A334" s="36"/>
      <c r="B334" s="36"/>
    </row>
    <row r="335">
      <c r="A335" s="36"/>
      <c r="B335" s="36"/>
    </row>
    <row r="336">
      <c r="A336" s="36"/>
      <c r="B336" s="36"/>
    </row>
    <row r="337">
      <c r="A337" s="36"/>
      <c r="B337" s="36"/>
    </row>
    <row r="338">
      <c r="A338" s="36"/>
      <c r="B338" s="36"/>
    </row>
    <row r="339">
      <c r="A339" s="36"/>
      <c r="B339" s="36"/>
    </row>
    <row r="340">
      <c r="A340" s="36"/>
      <c r="B340" s="36"/>
    </row>
    <row r="341">
      <c r="A341" s="36"/>
      <c r="B341" s="36"/>
    </row>
    <row r="342">
      <c r="A342" s="36"/>
      <c r="B342" s="36"/>
    </row>
    <row r="343">
      <c r="A343" s="36"/>
      <c r="B343" s="36"/>
    </row>
    <row r="344">
      <c r="A344" s="36"/>
      <c r="B344" s="36"/>
    </row>
    <row r="345">
      <c r="A345" s="36"/>
      <c r="B345" s="36"/>
    </row>
    <row r="346">
      <c r="A346" s="36"/>
      <c r="B346" s="36"/>
    </row>
    <row r="347">
      <c r="A347" s="36"/>
      <c r="B347" s="36"/>
    </row>
    <row r="348">
      <c r="A348" s="36"/>
      <c r="B348" s="36"/>
    </row>
    <row r="349">
      <c r="A349" s="36"/>
      <c r="B349" s="36"/>
    </row>
    <row r="350">
      <c r="A350" s="36"/>
      <c r="B350" s="36"/>
    </row>
    <row r="351">
      <c r="A351" s="36"/>
      <c r="B351" s="36"/>
    </row>
    <row r="352">
      <c r="A352" s="36"/>
      <c r="B352" s="36"/>
    </row>
    <row r="353">
      <c r="A353" s="36"/>
      <c r="B353" s="36"/>
    </row>
    <row r="354">
      <c r="A354" s="36"/>
      <c r="B354" s="36"/>
    </row>
    <row r="355">
      <c r="A355" s="36"/>
      <c r="B355" s="36"/>
    </row>
    <row r="356">
      <c r="A356" s="36"/>
      <c r="B356" s="36"/>
    </row>
    <row r="357">
      <c r="A357" s="36"/>
      <c r="B357" s="36"/>
    </row>
    <row r="358">
      <c r="A358" s="36"/>
      <c r="B358" s="36"/>
    </row>
    <row r="359">
      <c r="A359" s="36"/>
      <c r="B359" s="36"/>
    </row>
    <row r="360">
      <c r="A360" s="36"/>
      <c r="B360" s="36"/>
    </row>
    <row r="361">
      <c r="A361" s="36"/>
      <c r="B361" s="36"/>
    </row>
    <row r="362">
      <c r="A362" s="36"/>
      <c r="B362" s="36"/>
    </row>
    <row r="363">
      <c r="A363" s="36"/>
      <c r="B363" s="36"/>
    </row>
    <row r="364">
      <c r="A364" s="36"/>
      <c r="B364" s="36"/>
    </row>
    <row r="365">
      <c r="A365" s="36"/>
      <c r="B365" s="36"/>
    </row>
    <row r="366">
      <c r="A366" s="36"/>
      <c r="B366" s="36"/>
    </row>
    <row r="367">
      <c r="A367" s="36"/>
      <c r="B367" s="36"/>
    </row>
    <row r="368">
      <c r="A368" s="36"/>
      <c r="B368" s="36"/>
    </row>
    <row r="369">
      <c r="A369" s="36"/>
      <c r="B369" s="36"/>
    </row>
    <row r="370">
      <c r="A370" s="36"/>
      <c r="B370" s="36"/>
    </row>
    <row r="371">
      <c r="A371" s="36"/>
      <c r="B371" s="36"/>
    </row>
    <row r="372">
      <c r="A372" s="36"/>
      <c r="B372" s="36"/>
    </row>
    <row r="373">
      <c r="A373" s="36"/>
      <c r="B373" s="36"/>
    </row>
    <row r="374">
      <c r="A374" s="36"/>
      <c r="B374" s="36"/>
    </row>
    <row r="375">
      <c r="A375" s="36"/>
      <c r="B375" s="36"/>
    </row>
    <row r="376">
      <c r="A376" s="36"/>
      <c r="B376" s="36"/>
    </row>
    <row r="377">
      <c r="A377" s="36"/>
      <c r="B377" s="36"/>
    </row>
    <row r="378">
      <c r="A378" s="36"/>
      <c r="B378" s="36"/>
    </row>
    <row r="379">
      <c r="A379" s="36"/>
      <c r="B379" s="36"/>
    </row>
    <row r="380">
      <c r="A380" s="36"/>
      <c r="B380" s="36"/>
    </row>
    <row r="381">
      <c r="A381" s="36"/>
      <c r="B381" s="36"/>
    </row>
    <row r="382">
      <c r="A382" s="36"/>
      <c r="B382" s="36"/>
    </row>
    <row r="383">
      <c r="A383" s="36"/>
      <c r="B383" s="36"/>
    </row>
    <row r="384">
      <c r="A384" s="36"/>
      <c r="B384" s="36"/>
    </row>
    <row r="385">
      <c r="A385" s="36"/>
      <c r="B385" s="36"/>
    </row>
    <row r="386">
      <c r="A386" s="36"/>
      <c r="B386" s="36"/>
    </row>
    <row r="387">
      <c r="A387" s="36"/>
      <c r="B387" s="36"/>
    </row>
    <row r="388">
      <c r="A388" s="36"/>
      <c r="B388" s="36"/>
    </row>
    <row r="389">
      <c r="A389" s="36"/>
      <c r="B389" s="36"/>
    </row>
    <row r="390">
      <c r="A390" s="36"/>
      <c r="B390" s="36"/>
    </row>
    <row r="391">
      <c r="A391" s="36"/>
      <c r="B391" s="36"/>
    </row>
    <row r="392">
      <c r="A392" s="36"/>
      <c r="B392" s="36"/>
    </row>
    <row r="393">
      <c r="A393" s="36"/>
      <c r="B393" s="36"/>
    </row>
    <row r="394">
      <c r="A394" s="36"/>
      <c r="B394" s="36"/>
    </row>
    <row r="395">
      <c r="A395" s="36"/>
      <c r="B395" s="36"/>
    </row>
    <row r="396">
      <c r="A396" s="36"/>
      <c r="B396" s="36"/>
    </row>
    <row r="397">
      <c r="A397" s="36"/>
      <c r="B397" s="36"/>
    </row>
    <row r="398">
      <c r="A398" s="36"/>
      <c r="B398" s="36"/>
    </row>
    <row r="399">
      <c r="A399" s="36"/>
      <c r="B399" s="36"/>
    </row>
    <row r="400">
      <c r="A400" s="36"/>
      <c r="B400" s="36"/>
    </row>
    <row r="401">
      <c r="A401" s="36"/>
      <c r="B401" s="36"/>
    </row>
    <row r="402">
      <c r="A402" s="36"/>
      <c r="B402" s="36"/>
    </row>
    <row r="403">
      <c r="A403" s="36"/>
      <c r="B403" s="36"/>
    </row>
    <row r="404">
      <c r="A404" s="36"/>
      <c r="B404" s="36"/>
    </row>
    <row r="405">
      <c r="A405" s="36"/>
      <c r="B405" s="36"/>
    </row>
    <row r="406">
      <c r="A406" s="36"/>
      <c r="B406" s="36"/>
    </row>
    <row r="407">
      <c r="A407" s="36"/>
      <c r="B407" s="36"/>
    </row>
    <row r="408">
      <c r="A408" s="36"/>
      <c r="B408" s="36"/>
    </row>
    <row r="409">
      <c r="A409" s="36"/>
      <c r="B409" s="36"/>
    </row>
    <row r="410">
      <c r="A410" s="36"/>
      <c r="B410" s="36"/>
    </row>
    <row r="411">
      <c r="A411" s="36"/>
      <c r="B411" s="36"/>
    </row>
    <row r="412">
      <c r="A412" s="36"/>
      <c r="B412" s="36"/>
    </row>
    <row r="413">
      <c r="A413" s="36"/>
      <c r="B413" s="36"/>
    </row>
    <row r="414">
      <c r="A414" s="36"/>
      <c r="B414" s="36"/>
    </row>
    <row r="415">
      <c r="A415" s="36"/>
      <c r="B415" s="36"/>
    </row>
    <row r="416">
      <c r="A416" s="36"/>
      <c r="B416" s="36"/>
    </row>
    <row r="417">
      <c r="A417" s="36"/>
      <c r="B417" s="36"/>
    </row>
    <row r="418">
      <c r="A418" s="36"/>
      <c r="B418" s="36"/>
    </row>
    <row r="419">
      <c r="A419" s="36"/>
      <c r="B419" s="36"/>
    </row>
    <row r="420">
      <c r="A420" s="36"/>
      <c r="B420" s="36"/>
    </row>
    <row r="421">
      <c r="A421" s="36"/>
      <c r="B421" s="36"/>
    </row>
    <row r="422">
      <c r="A422" s="36"/>
      <c r="B422" s="36"/>
    </row>
    <row r="423">
      <c r="A423" s="36"/>
      <c r="B423" s="36"/>
    </row>
    <row r="424">
      <c r="A424" s="36"/>
      <c r="B424" s="36"/>
    </row>
    <row r="425">
      <c r="A425" s="36"/>
      <c r="B425" s="36"/>
    </row>
    <row r="426">
      <c r="A426" s="36"/>
      <c r="B426" s="36"/>
    </row>
    <row r="427">
      <c r="A427" s="36"/>
      <c r="B427" s="36"/>
    </row>
    <row r="428">
      <c r="A428" s="36"/>
      <c r="B428" s="36"/>
    </row>
    <row r="429">
      <c r="A429" s="36"/>
      <c r="B429" s="36"/>
    </row>
    <row r="430">
      <c r="A430" s="36"/>
      <c r="B430" s="36"/>
    </row>
    <row r="431">
      <c r="A431" s="36"/>
      <c r="B431" s="36"/>
    </row>
    <row r="432">
      <c r="A432" s="36"/>
      <c r="B432" s="36"/>
    </row>
    <row r="433">
      <c r="A433" s="36"/>
      <c r="B433" s="36"/>
    </row>
    <row r="434">
      <c r="A434" s="36"/>
      <c r="B434" s="36"/>
    </row>
    <row r="435">
      <c r="A435" s="36"/>
      <c r="B435" s="36"/>
    </row>
    <row r="436">
      <c r="A436" s="36"/>
      <c r="B436" s="36"/>
    </row>
    <row r="437">
      <c r="A437" s="36"/>
      <c r="B437" s="36"/>
    </row>
    <row r="438">
      <c r="A438" s="36"/>
      <c r="B438" s="36"/>
    </row>
    <row r="439">
      <c r="A439" s="36"/>
      <c r="B439" s="36"/>
    </row>
    <row r="440">
      <c r="A440" s="36"/>
      <c r="B440" s="36"/>
    </row>
    <row r="441">
      <c r="A441" s="36"/>
      <c r="B441" s="36"/>
    </row>
    <row r="442">
      <c r="A442" s="36"/>
      <c r="B442" s="36"/>
    </row>
    <row r="443">
      <c r="A443" s="36"/>
      <c r="B443" s="36"/>
    </row>
    <row r="444">
      <c r="A444" s="36"/>
      <c r="B444" s="36"/>
    </row>
    <row r="445">
      <c r="A445" s="36"/>
      <c r="B445" s="36"/>
    </row>
    <row r="446">
      <c r="A446" s="36"/>
      <c r="B446" s="36"/>
    </row>
    <row r="447">
      <c r="A447" s="36"/>
      <c r="B447" s="36"/>
    </row>
    <row r="448">
      <c r="A448" s="36"/>
      <c r="B448" s="36"/>
    </row>
    <row r="449">
      <c r="A449" s="36"/>
      <c r="B449" s="36"/>
    </row>
    <row r="450">
      <c r="A450" s="36"/>
      <c r="B450" s="36"/>
    </row>
    <row r="451">
      <c r="A451" s="36"/>
      <c r="B451" s="36"/>
    </row>
    <row r="452">
      <c r="A452" s="36"/>
      <c r="B452" s="36"/>
    </row>
    <row r="453">
      <c r="A453" s="36"/>
      <c r="B453" s="36"/>
    </row>
    <row r="454">
      <c r="A454" s="36"/>
      <c r="B454" s="36"/>
    </row>
    <row r="455">
      <c r="A455" s="36"/>
      <c r="B455" s="36"/>
    </row>
    <row r="456">
      <c r="A456" s="36"/>
      <c r="B456" s="36"/>
    </row>
    <row r="457">
      <c r="A457" s="36"/>
      <c r="B457" s="36"/>
    </row>
    <row r="458">
      <c r="A458" s="36"/>
      <c r="B458" s="36"/>
    </row>
    <row r="459">
      <c r="A459" s="36"/>
      <c r="B459" s="36"/>
    </row>
    <row r="460">
      <c r="A460" s="36"/>
      <c r="B460" s="36"/>
    </row>
    <row r="461">
      <c r="A461" s="36"/>
      <c r="B461" s="36"/>
    </row>
    <row r="462">
      <c r="A462" s="36"/>
      <c r="B462" s="36"/>
    </row>
    <row r="463">
      <c r="A463" s="36"/>
      <c r="B463" s="36"/>
    </row>
    <row r="464">
      <c r="A464" s="36"/>
      <c r="B464" s="36"/>
    </row>
    <row r="465">
      <c r="A465" s="36"/>
      <c r="B465" s="36"/>
    </row>
    <row r="466">
      <c r="A466" s="36"/>
      <c r="B466" s="36"/>
    </row>
    <row r="467">
      <c r="A467" s="36"/>
      <c r="B467" s="36"/>
    </row>
    <row r="468">
      <c r="A468" s="36"/>
      <c r="B468" s="36"/>
    </row>
    <row r="469">
      <c r="A469" s="36"/>
      <c r="B469" s="36"/>
    </row>
    <row r="470">
      <c r="A470" s="36"/>
      <c r="B470" s="36"/>
    </row>
    <row r="471">
      <c r="A471" s="36"/>
      <c r="B471" s="36"/>
    </row>
    <row r="472">
      <c r="A472" s="36"/>
      <c r="B472" s="36"/>
    </row>
    <row r="473">
      <c r="A473" s="36"/>
      <c r="B473" s="36"/>
    </row>
    <row r="474">
      <c r="A474" s="36"/>
      <c r="B474" s="36"/>
    </row>
    <row r="475">
      <c r="A475" s="36"/>
      <c r="B475" s="36"/>
    </row>
    <row r="476">
      <c r="A476" s="36"/>
      <c r="B476" s="36"/>
    </row>
    <row r="477">
      <c r="A477" s="36"/>
      <c r="B477" s="36"/>
    </row>
    <row r="478">
      <c r="A478" s="36"/>
      <c r="B478" s="36"/>
    </row>
    <row r="479">
      <c r="A479" s="36"/>
      <c r="B479" s="36"/>
    </row>
    <row r="480">
      <c r="A480" s="36"/>
      <c r="B480" s="36"/>
    </row>
    <row r="481">
      <c r="A481" s="36"/>
      <c r="B481" s="36"/>
    </row>
    <row r="482">
      <c r="A482" s="36"/>
      <c r="B482" s="36"/>
    </row>
    <row r="483">
      <c r="A483" s="36"/>
      <c r="B483" s="36"/>
    </row>
    <row r="484">
      <c r="A484" s="36"/>
      <c r="B484" s="36"/>
    </row>
    <row r="485">
      <c r="A485" s="36"/>
      <c r="B485" s="36"/>
    </row>
    <row r="486">
      <c r="A486" s="36"/>
      <c r="B486" s="36"/>
    </row>
    <row r="487">
      <c r="A487" s="36"/>
      <c r="B487" s="36"/>
    </row>
    <row r="488">
      <c r="A488" s="36"/>
      <c r="B488" s="36"/>
    </row>
    <row r="489">
      <c r="A489" s="36"/>
      <c r="B489" s="36"/>
    </row>
    <row r="490">
      <c r="A490" s="36"/>
      <c r="B490" s="36"/>
    </row>
    <row r="491">
      <c r="A491" s="36"/>
      <c r="B491" s="36"/>
    </row>
    <row r="492">
      <c r="A492" s="36"/>
      <c r="B492" s="36"/>
    </row>
    <row r="493">
      <c r="A493" s="36"/>
      <c r="B493" s="36"/>
    </row>
    <row r="494">
      <c r="A494" s="36"/>
      <c r="B494" s="36"/>
    </row>
    <row r="495">
      <c r="A495" s="36"/>
      <c r="B495" s="36"/>
    </row>
    <row r="496">
      <c r="A496" s="36"/>
      <c r="B496" s="36"/>
    </row>
    <row r="497">
      <c r="A497" s="36"/>
      <c r="B497" s="36"/>
    </row>
    <row r="498">
      <c r="A498" s="36"/>
      <c r="B498" s="36"/>
    </row>
    <row r="499">
      <c r="A499" s="36"/>
      <c r="B499" s="36"/>
    </row>
    <row r="500">
      <c r="A500" s="36"/>
      <c r="B500" s="36"/>
    </row>
    <row r="501">
      <c r="A501" s="36"/>
      <c r="B501" s="36"/>
    </row>
    <row r="502">
      <c r="A502" s="36"/>
      <c r="B502" s="36"/>
    </row>
    <row r="503">
      <c r="A503" s="36"/>
      <c r="B503" s="36"/>
    </row>
    <row r="504">
      <c r="A504" s="36"/>
      <c r="B504" s="36"/>
    </row>
    <row r="505">
      <c r="A505" s="36"/>
      <c r="B505" s="36"/>
    </row>
    <row r="506">
      <c r="A506" s="36"/>
      <c r="B506" s="36"/>
    </row>
    <row r="507">
      <c r="A507" s="36"/>
      <c r="B507" s="36"/>
    </row>
    <row r="508">
      <c r="A508" s="36"/>
      <c r="B508" s="36"/>
    </row>
    <row r="509">
      <c r="A509" s="36"/>
      <c r="B509" s="36"/>
    </row>
    <row r="510">
      <c r="A510" s="36"/>
      <c r="B510" s="36"/>
    </row>
    <row r="511">
      <c r="A511" s="36"/>
      <c r="B511" s="36"/>
    </row>
    <row r="512">
      <c r="A512" s="36"/>
      <c r="B512" s="36"/>
    </row>
    <row r="513">
      <c r="A513" s="36"/>
      <c r="B513" s="36"/>
    </row>
    <row r="514">
      <c r="A514" s="36"/>
      <c r="B514" s="36"/>
    </row>
    <row r="515">
      <c r="A515" s="36"/>
      <c r="B515" s="36"/>
    </row>
    <row r="516">
      <c r="A516" s="36"/>
      <c r="B516" s="36"/>
    </row>
    <row r="517">
      <c r="A517" s="36"/>
      <c r="B517" s="36"/>
    </row>
    <row r="518">
      <c r="A518" s="36"/>
      <c r="B518" s="36"/>
    </row>
    <row r="519">
      <c r="A519" s="36"/>
      <c r="B519" s="36"/>
    </row>
    <row r="520">
      <c r="A520" s="36"/>
      <c r="B520" s="36"/>
    </row>
    <row r="521">
      <c r="A521" s="36"/>
      <c r="B521" s="36"/>
    </row>
    <row r="522">
      <c r="A522" s="36"/>
      <c r="B522" s="36"/>
    </row>
    <row r="523">
      <c r="A523" s="36"/>
      <c r="B523" s="36"/>
    </row>
    <row r="524">
      <c r="A524" s="36"/>
      <c r="B524" s="36"/>
    </row>
    <row r="525">
      <c r="A525" s="36"/>
      <c r="B525" s="36"/>
    </row>
    <row r="526">
      <c r="A526" s="36"/>
      <c r="B526" s="36"/>
    </row>
    <row r="527">
      <c r="A527" s="36"/>
      <c r="B527" s="36"/>
    </row>
    <row r="528">
      <c r="A528" s="36"/>
      <c r="B528" s="36"/>
    </row>
    <row r="529">
      <c r="A529" s="36"/>
      <c r="B529" s="36"/>
    </row>
    <row r="530">
      <c r="A530" s="36"/>
      <c r="B530" s="36"/>
    </row>
    <row r="531">
      <c r="A531" s="36"/>
      <c r="B531" s="36"/>
    </row>
    <row r="532">
      <c r="A532" s="36"/>
      <c r="B532" s="36"/>
    </row>
    <row r="533">
      <c r="A533" s="36"/>
      <c r="B533" s="36"/>
    </row>
    <row r="534">
      <c r="A534" s="36"/>
      <c r="B534" s="36"/>
    </row>
    <row r="535">
      <c r="A535" s="36"/>
      <c r="B535" s="36"/>
    </row>
    <row r="536">
      <c r="A536" s="36"/>
      <c r="B536" s="36"/>
    </row>
    <row r="537">
      <c r="A537" s="36"/>
      <c r="B537" s="36"/>
    </row>
    <row r="538">
      <c r="A538" s="36"/>
      <c r="B538" s="36"/>
    </row>
    <row r="539">
      <c r="A539" s="36"/>
      <c r="B539" s="36"/>
    </row>
    <row r="540">
      <c r="A540" s="36"/>
      <c r="B540" s="36"/>
    </row>
    <row r="541">
      <c r="A541" s="36"/>
      <c r="B541" s="36"/>
    </row>
    <row r="542">
      <c r="A542" s="36"/>
      <c r="B542" s="36"/>
    </row>
    <row r="543">
      <c r="A543" s="36"/>
      <c r="B543" s="36"/>
    </row>
    <row r="544">
      <c r="A544" s="36"/>
      <c r="B544" s="36"/>
    </row>
    <row r="545">
      <c r="A545" s="36"/>
      <c r="B545" s="36"/>
    </row>
    <row r="546">
      <c r="A546" s="36"/>
      <c r="B546" s="36"/>
    </row>
    <row r="547">
      <c r="A547" s="36"/>
      <c r="B547" s="36"/>
    </row>
    <row r="548">
      <c r="A548" s="36"/>
      <c r="B548" s="36"/>
    </row>
    <row r="549">
      <c r="A549" s="36"/>
      <c r="B549" s="36"/>
    </row>
    <row r="550">
      <c r="A550" s="36"/>
      <c r="B550" s="36"/>
    </row>
    <row r="551">
      <c r="A551" s="36"/>
      <c r="B551" s="36"/>
    </row>
    <row r="552">
      <c r="A552" s="36"/>
      <c r="B552" s="36"/>
    </row>
    <row r="553">
      <c r="A553" s="36"/>
      <c r="B553" s="36"/>
    </row>
    <row r="554">
      <c r="A554" s="36"/>
      <c r="B554" s="36"/>
    </row>
    <row r="555">
      <c r="A555" s="36"/>
      <c r="B555" s="36"/>
    </row>
    <row r="556">
      <c r="A556" s="36"/>
      <c r="B556" s="36"/>
    </row>
    <row r="557">
      <c r="A557" s="36"/>
      <c r="B557" s="36"/>
    </row>
    <row r="558">
      <c r="A558" s="36"/>
      <c r="B558" s="36"/>
    </row>
    <row r="559">
      <c r="A559" s="36"/>
      <c r="B559" s="36"/>
    </row>
    <row r="560">
      <c r="A560" s="36"/>
      <c r="B560" s="36"/>
    </row>
    <row r="561">
      <c r="A561" s="36"/>
      <c r="B561" s="36"/>
    </row>
    <row r="562">
      <c r="A562" s="36"/>
      <c r="B562" s="36"/>
    </row>
    <row r="563">
      <c r="A563" s="36"/>
      <c r="B563" s="36"/>
    </row>
    <row r="564">
      <c r="A564" s="36"/>
      <c r="B564" s="36"/>
    </row>
    <row r="565">
      <c r="A565" s="36"/>
      <c r="B565" s="36"/>
    </row>
    <row r="566">
      <c r="A566" s="36"/>
      <c r="B566" s="36"/>
    </row>
    <row r="567">
      <c r="A567" s="36"/>
      <c r="B567" s="36"/>
    </row>
    <row r="568">
      <c r="A568" s="36"/>
      <c r="B568" s="36"/>
    </row>
    <row r="569">
      <c r="A569" s="36"/>
      <c r="B569" s="36"/>
    </row>
    <row r="570">
      <c r="A570" s="36"/>
      <c r="B570" s="36"/>
    </row>
    <row r="571">
      <c r="A571" s="36"/>
      <c r="B571" s="36"/>
    </row>
    <row r="572">
      <c r="A572" s="36"/>
      <c r="B572" s="36"/>
    </row>
    <row r="573">
      <c r="A573" s="36"/>
      <c r="B573" s="36"/>
    </row>
    <row r="574">
      <c r="A574" s="36"/>
      <c r="B574" s="36"/>
    </row>
    <row r="575">
      <c r="A575" s="36"/>
      <c r="B575" s="36"/>
    </row>
    <row r="576">
      <c r="A576" s="36"/>
      <c r="B576" s="36"/>
    </row>
    <row r="577">
      <c r="A577" s="36"/>
      <c r="B577" s="36"/>
    </row>
    <row r="578">
      <c r="A578" s="36"/>
      <c r="B578" s="36"/>
    </row>
    <row r="579">
      <c r="A579" s="36"/>
      <c r="B579" s="36"/>
    </row>
    <row r="580">
      <c r="A580" s="36"/>
      <c r="B580" s="36"/>
    </row>
    <row r="581">
      <c r="A581" s="36"/>
      <c r="B581" s="36"/>
    </row>
    <row r="582">
      <c r="A582" s="36"/>
      <c r="B582" s="36"/>
    </row>
    <row r="583">
      <c r="A583" s="36"/>
      <c r="B583" s="36"/>
    </row>
    <row r="584">
      <c r="A584" s="36"/>
      <c r="B584" s="36"/>
    </row>
    <row r="585">
      <c r="A585" s="36"/>
      <c r="B585" s="36"/>
    </row>
    <row r="586">
      <c r="A586" s="36"/>
      <c r="B586" s="36"/>
    </row>
    <row r="587">
      <c r="A587" s="36"/>
      <c r="B587" s="36"/>
    </row>
    <row r="588">
      <c r="A588" s="36"/>
      <c r="B588" s="36"/>
    </row>
    <row r="589">
      <c r="A589" s="36"/>
      <c r="B589" s="36"/>
    </row>
    <row r="590">
      <c r="A590" s="36"/>
      <c r="B590" s="36"/>
    </row>
    <row r="591">
      <c r="A591" s="36"/>
      <c r="B591" s="36"/>
    </row>
    <row r="592">
      <c r="A592" s="36"/>
      <c r="B592" s="36"/>
    </row>
    <row r="593">
      <c r="A593" s="36"/>
      <c r="B593" s="36"/>
    </row>
    <row r="594">
      <c r="A594" s="36"/>
      <c r="B594" s="36"/>
    </row>
    <row r="595">
      <c r="A595" s="36"/>
      <c r="B595" s="36"/>
    </row>
    <row r="596">
      <c r="A596" s="36"/>
      <c r="B596" s="36"/>
    </row>
    <row r="597">
      <c r="A597" s="36"/>
      <c r="B597" s="36"/>
    </row>
    <row r="598">
      <c r="A598" s="36"/>
      <c r="B598" s="36"/>
    </row>
    <row r="599">
      <c r="A599" s="36"/>
      <c r="B599" s="36"/>
    </row>
    <row r="600">
      <c r="A600" s="36"/>
      <c r="B600" s="36"/>
    </row>
    <row r="601">
      <c r="A601" s="36"/>
      <c r="B601" s="36"/>
    </row>
    <row r="602">
      <c r="A602" s="36"/>
      <c r="B602" s="36"/>
    </row>
    <row r="603">
      <c r="A603" s="36"/>
      <c r="B603" s="36"/>
    </row>
    <row r="604">
      <c r="A604" s="36"/>
      <c r="B604" s="36"/>
    </row>
    <row r="605">
      <c r="A605" s="36"/>
      <c r="B605" s="36"/>
    </row>
    <row r="606">
      <c r="A606" s="36"/>
      <c r="B606" s="36"/>
    </row>
    <row r="607">
      <c r="A607" s="36"/>
      <c r="B607" s="36"/>
    </row>
    <row r="608">
      <c r="A608" s="36"/>
      <c r="B608" s="36"/>
    </row>
    <row r="609">
      <c r="A609" s="36"/>
      <c r="B609" s="36"/>
    </row>
    <row r="610">
      <c r="A610" s="36"/>
      <c r="B610" s="36"/>
    </row>
    <row r="611">
      <c r="A611" s="36"/>
      <c r="B611" s="36"/>
    </row>
    <row r="612">
      <c r="A612" s="36"/>
      <c r="B612" s="36"/>
    </row>
    <row r="613">
      <c r="A613" s="36"/>
      <c r="B613" s="36"/>
    </row>
    <row r="614">
      <c r="A614" s="36"/>
      <c r="B614" s="36"/>
    </row>
    <row r="615">
      <c r="A615" s="36"/>
      <c r="B615" s="36"/>
    </row>
    <row r="616">
      <c r="A616" s="36"/>
      <c r="B616" s="36"/>
    </row>
    <row r="617">
      <c r="A617" s="36"/>
      <c r="B617" s="36"/>
    </row>
    <row r="618">
      <c r="A618" s="36"/>
      <c r="B618" s="36"/>
    </row>
    <row r="619">
      <c r="A619" s="36"/>
      <c r="B619" s="36"/>
    </row>
    <row r="620">
      <c r="A620" s="36"/>
      <c r="B620" s="36"/>
    </row>
    <row r="621">
      <c r="A621" s="36"/>
      <c r="B621" s="36"/>
    </row>
    <row r="622">
      <c r="A622" s="36"/>
      <c r="B622" s="36"/>
    </row>
    <row r="623">
      <c r="A623" s="36"/>
      <c r="B623" s="36"/>
    </row>
    <row r="624">
      <c r="A624" s="36"/>
      <c r="B624" s="36"/>
    </row>
    <row r="625">
      <c r="A625" s="36"/>
      <c r="B625" s="36"/>
    </row>
    <row r="626">
      <c r="A626" s="36"/>
      <c r="B626" s="36"/>
    </row>
    <row r="627">
      <c r="A627" s="36"/>
      <c r="B627" s="36"/>
    </row>
    <row r="628">
      <c r="A628" s="36"/>
      <c r="B628" s="36"/>
    </row>
    <row r="629">
      <c r="A629" s="36"/>
      <c r="B629" s="36"/>
    </row>
    <row r="630">
      <c r="A630" s="36"/>
      <c r="B630" s="36"/>
    </row>
    <row r="631">
      <c r="A631" s="36"/>
      <c r="B631" s="36"/>
    </row>
    <row r="632">
      <c r="A632" s="36"/>
      <c r="B632" s="36"/>
    </row>
    <row r="633">
      <c r="A633" s="36"/>
      <c r="B633" s="36"/>
    </row>
    <row r="634">
      <c r="A634" s="36"/>
      <c r="B634" s="36"/>
    </row>
    <row r="635">
      <c r="A635" s="36"/>
      <c r="B635" s="36"/>
    </row>
    <row r="636">
      <c r="A636" s="36"/>
      <c r="B636" s="36"/>
    </row>
    <row r="637">
      <c r="A637" s="36"/>
      <c r="B637" s="36"/>
    </row>
    <row r="638">
      <c r="A638" s="36"/>
      <c r="B638" s="36"/>
    </row>
    <row r="639">
      <c r="A639" s="36"/>
      <c r="B639" s="36"/>
    </row>
    <row r="640">
      <c r="A640" s="36"/>
      <c r="B640" s="36"/>
    </row>
    <row r="641">
      <c r="A641" s="36"/>
      <c r="B641" s="36"/>
    </row>
    <row r="642">
      <c r="A642" s="36"/>
      <c r="B642" s="36"/>
    </row>
    <row r="643">
      <c r="A643" s="36"/>
      <c r="B643" s="36"/>
    </row>
    <row r="644">
      <c r="A644" s="36"/>
      <c r="B644" s="36"/>
    </row>
    <row r="645">
      <c r="A645" s="36"/>
      <c r="B645" s="36"/>
    </row>
    <row r="646">
      <c r="A646" s="36"/>
      <c r="B646" s="36"/>
    </row>
    <row r="647">
      <c r="A647" s="36"/>
      <c r="B647" s="36"/>
    </row>
    <row r="648">
      <c r="A648" s="36"/>
      <c r="B648" s="36"/>
    </row>
    <row r="649">
      <c r="A649" s="36"/>
      <c r="B649" s="36"/>
    </row>
    <row r="650">
      <c r="A650" s="36"/>
      <c r="B650" s="36"/>
    </row>
    <row r="651">
      <c r="A651" s="36"/>
      <c r="B651" s="36"/>
    </row>
    <row r="652">
      <c r="A652" s="36"/>
      <c r="B652" s="36"/>
    </row>
    <row r="653">
      <c r="A653" s="36"/>
      <c r="B653" s="36"/>
    </row>
    <row r="654">
      <c r="A654" s="36"/>
      <c r="B654" s="36"/>
    </row>
    <row r="655">
      <c r="A655" s="36"/>
      <c r="B655" s="36"/>
    </row>
    <row r="656">
      <c r="A656" s="36"/>
      <c r="B656" s="36"/>
    </row>
    <row r="657">
      <c r="A657" s="36"/>
      <c r="B657" s="36"/>
    </row>
    <row r="658">
      <c r="A658" s="36"/>
      <c r="B658" s="36"/>
    </row>
    <row r="659">
      <c r="A659" s="36"/>
      <c r="B659" s="36"/>
    </row>
    <row r="660">
      <c r="A660" s="36"/>
      <c r="B660" s="36"/>
    </row>
    <row r="661">
      <c r="A661" s="36"/>
      <c r="B661" s="36"/>
    </row>
    <row r="662">
      <c r="A662" s="36"/>
      <c r="B662" s="36"/>
    </row>
    <row r="663">
      <c r="A663" s="36"/>
      <c r="B663" s="36"/>
    </row>
    <row r="664">
      <c r="A664" s="36"/>
      <c r="B664" s="36"/>
    </row>
    <row r="665">
      <c r="A665" s="36"/>
      <c r="B665" s="36"/>
    </row>
    <row r="666">
      <c r="A666" s="36"/>
      <c r="B666" s="36"/>
    </row>
    <row r="667">
      <c r="A667" s="36"/>
      <c r="B667" s="36"/>
    </row>
    <row r="668">
      <c r="A668" s="36"/>
      <c r="B668" s="36"/>
    </row>
    <row r="669">
      <c r="A669" s="36"/>
      <c r="B669" s="36"/>
    </row>
    <row r="670">
      <c r="A670" s="36"/>
      <c r="B670" s="36"/>
    </row>
    <row r="671">
      <c r="A671" s="36"/>
      <c r="B671" s="36"/>
    </row>
    <row r="672">
      <c r="A672" s="36"/>
      <c r="B672" s="36"/>
    </row>
    <row r="673">
      <c r="A673" s="36"/>
      <c r="B673" s="36"/>
    </row>
    <row r="674">
      <c r="A674" s="36"/>
      <c r="B674" s="36"/>
    </row>
    <row r="675">
      <c r="A675" s="36"/>
      <c r="B675" s="36"/>
    </row>
    <row r="676">
      <c r="A676" s="36"/>
      <c r="B676" s="36"/>
    </row>
    <row r="677">
      <c r="A677" s="36"/>
      <c r="B677" s="36"/>
    </row>
    <row r="678">
      <c r="A678" s="36"/>
      <c r="B678" s="36"/>
    </row>
    <row r="679">
      <c r="A679" s="36"/>
      <c r="B679" s="36"/>
    </row>
    <row r="680">
      <c r="A680" s="36"/>
      <c r="B680" s="36"/>
    </row>
    <row r="681">
      <c r="A681" s="36"/>
      <c r="B681" s="36"/>
    </row>
    <row r="682">
      <c r="A682" s="36"/>
      <c r="B682" s="36"/>
    </row>
    <row r="683">
      <c r="A683" s="36"/>
      <c r="B683" s="36"/>
    </row>
    <row r="684">
      <c r="A684" s="36"/>
      <c r="B684" s="36"/>
    </row>
    <row r="685">
      <c r="A685" s="36"/>
      <c r="B685" s="36"/>
    </row>
    <row r="686">
      <c r="A686" s="36"/>
      <c r="B686" s="36"/>
    </row>
    <row r="687">
      <c r="A687" s="36"/>
      <c r="B687" s="36"/>
    </row>
    <row r="688">
      <c r="A688" s="36"/>
      <c r="B688" s="36"/>
    </row>
    <row r="689">
      <c r="A689" s="36"/>
      <c r="B689" s="36"/>
    </row>
    <row r="690">
      <c r="A690" s="36"/>
      <c r="B690" s="36"/>
    </row>
    <row r="691">
      <c r="A691" s="36"/>
      <c r="B691" s="36"/>
    </row>
    <row r="692">
      <c r="A692" s="36"/>
      <c r="B692" s="36"/>
    </row>
    <row r="693">
      <c r="A693" s="36"/>
      <c r="B693" s="36"/>
    </row>
    <row r="694">
      <c r="A694" s="36"/>
      <c r="B694" s="36"/>
    </row>
    <row r="695">
      <c r="A695" s="36"/>
      <c r="B695" s="36"/>
    </row>
    <row r="696">
      <c r="A696" s="36"/>
      <c r="B696" s="36"/>
    </row>
    <row r="697">
      <c r="A697" s="36"/>
      <c r="B697" s="36"/>
    </row>
    <row r="698">
      <c r="A698" s="36"/>
      <c r="B698" s="36"/>
    </row>
    <row r="699">
      <c r="A699" s="36"/>
      <c r="B699" s="36"/>
    </row>
    <row r="700">
      <c r="A700" s="36"/>
      <c r="B700" s="36"/>
    </row>
    <row r="701">
      <c r="A701" s="36"/>
      <c r="B701" s="36"/>
    </row>
    <row r="702">
      <c r="A702" s="36"/>
      <c r="B702" s="36"/>
    </row>
    <row r="703">
      <c r="A703" s="36"/>
      <c r="B703" s="36"/>
    </row>
    <row r="704">
      <c r="A704" s="36"/>
      <c r="B704" s="36"/>
    </row>
    <row r="705">
      <c r="A705" s="36"/>
      <c r="B705" s="36"/>
    </row>
    <row r="706">
      <c r="A706" s="36"/>
      <c r="B706" s="36"/>
    </row>
    <row r="707">
      <c r="A707" s="36"/>
      <c r="B707" s="36"/>
    </row>
    <row r="708">
      <c r="A708" s="36"/>
      <c r="B708" s="36"/>
    </row>
    <row r="709">
      <c r="A709" s="36"/>
      <c r="B709" s="36"/>
    </row>
    <row r="710">
      <c r="A710" s="36"/>
      <c r="B710" s="36"/>
    </row>
    <row r="711">
      <c r="A711" s="36"/>
      <c r="B711" s="36"/>
    </row>
    <row r="712">
      <c r="A712" s="36"/>
      <c r="B712" s="36"/>
    </row>
    <row r="713">
      <c r="A713" s="36"/>
      <c r="B713" s="36"/>
    </row>
    <row r="714">
      <c r="A714" s="36"/>
      <c r="B714" s="36"/>
    </row>
    <row r="715">
      <c r="A715" s="36"/>
      <c r="B715" s="36"/>
    </row>
    <row r="716">
      <c r="A716" s="36"/>
      <c r="B716" s="36"/>
    </row>
    <row r="717">
      <c r="A717" s="36"/>
      <c r="B717" s="36"/>
    </row>
    <row r="718">
      <c r="A718" s="36"/>
      <c r="B718" s="36"/>
    </row>
    <row r="719">
      <c r="A719" s="36"/>
      <c r="B719" s="36"/>
    </row>
    <row r="720">
      <c r="A720" s="36"/>
      <c r="B720" s="36"/>
    </row>
    <row r="721">
      <c r="A721" s="36"/>
      <c r="B721" s="36"/>
    </row>
    <row r="722">
      <c r="A722" s="36"/>
      <c r="B722" s="36"/>
    </row>
    <row r="723">
      <c r="A723" s="36"/>
      <c r="B723" s="36"/>
    </row>
    <row r="724">
      <c r="A724" s="36"/>
      <c r="B724" s="36"/>
    </row>
    <row r="725">
      <c r="A725" s="36"/>
      <c r="B725" s="36"/>
    </row>
    <row r="726">
      <c r="A726" s="36"/>
      <c r="B726" s="36"/>
    </row>
    <row r="727">
      <c r="A727" s="36"/>
      <c r="B727" s="36"/>
    </row>
    <row r="728">
      <c r="A728" s="36"/>
      <c r="B728" s="36"/>
    </row>
    <row r="729">
      <c r="A729" s="36"/>
      <c r="B729" s="36"/>
    </row>
    <row r="730">
      <c r="A730" s="36"/>
      <c r="B730" s="36"/>
    </row>
    <row r="731">
      <c r="A731" s="36"/>
      <c r="B731" s="36"/>
    </row>
    <row r="732">
      <c r="A732" s="36"/>
      <c r="B732" s="36"/>
    </row>
    <row r="733">
      <c r="A733" s="36"/>
      <c r="B733" s="36"/>
    </row>
    <row r="734">
      <c r="A734" s="36"/>
      <c r="B734" s="36"/>
    </row>
    <row r="735">
      <c r="A735" s="36"/>
      <c r="B735" s="36"/>
    </row>
    <row r="736">
      <c r="A736" s="36"/>
      <c r="B736" s="36"/>
    </row>
    <row r="737">
      <c r="A737" s="36"/>
      <c r="B737" s="36"/>
    </row>
    <row r="738">
      <c r="A738" s="36"/>
      <c r="B738" s="36"/>
    </row>
    <row r="739">
      <c r="A739" s="36"/>
      <c r="B739" s="36"/>
    </row>
    <row r="740">
      <c r="A740" s="36"/>
      <c r="B740" s="36"/>
    </row>
    <row r="741">
      <c r="A741" s="36"/>
      <c r="B741" s="36"/>
    </row>
    <row r="742">
      <c r="A742" s="36"/>
      <c r="B742" s="36"/>
    </row>
    <row r="743">
      <c r="A743" s="36"/>
      <c r="B743" s="36"/>
    </row>
    <row r="744">
      <c r="A744" s="36"/>
      <c r="B744" s="36"/>
    </row>
    <row r="745">
      <c r="A745" s="36"/>
      <c r="B745" s="36"/>
    </row>
    <row r="746">
      <c r="A746" s="36"/>
      <c r="B746" s="36"/>
    </row>
    <row r="747">
      <c r="A747" s="36"/>
      <c r="B747" s="36"/>
    </row>
    <row r="748">
      <c r="A748" s="36"/>
      <c r="B748" s="36"/>
    </row>
    <row r="749">
      <c r="A749" s="36"/>
      <c r="B749" s="36"/>
    </row>
    <row r="750">
      <c r="A750" s="36"/>
      <c r="B750" s="36"/>
    </row>
    <row r="751">
      <c r="A751" s="36"/>
      <c r="B751" s="36"/>
    </row>
    <row r="752">
      <c r="A752" s="36"/>
      <c r="B752" s="36"/>
    </row>
    <row r="753">
      <c r="A753" s="36"/>
      <c r="B753" s="36"/>
    </row>
    <row r="754">
      <c r="A754" s="36"/>
      <c r="B754" s="36"/>
    </row>
    <row r="755">
      <c r="A755" s="36"/>
      <c r="B755" s="36"/>
    </row>
    <row r="756">
      <c r="A756" s="36"/>
      <c r="B756" s="36"/>
    </row>
    <row r="757">
      <c r="A757" s="36"/>
      <c r="B757" s="36"/>
    </row>
    <row r="758">
      <c r="A758" s="36"/>
      <c r="B758" s="36"/>
    </row>
    <row r="759">
      <c r="A759" s="36"/>
      <c r="B759" s="36"/>
    </row>
    <row r="760">
      <c r="A760" s="36"/>
      <c r="B760" s="36"/>
    </row>
    <row r="761">
      <c r="A761" s="36"/>
      <c r="B761" s="36"/>
    </row>
    <row r="762">
      <c r="A762" s="36"/>
      <c r="B762" s="36"/>
    </row>
    <row r="763">
      <c r="A763" s="36"/>
      <c r="B763" s="36"/>
    </row>
    <row r="764">
      <c r="A764" s="36"/>
      <c r="B764" s="36"/>
    </row>
    <row r="765">
      <c r="A765" s="36"/>
      <c r="B765" s="36"/>
    </row>
    <row r="766">
      <c r="A766" s="36"/>
      <c r="B766" s="36"/>
    </row>
    <row r="767">
      <c r="A767" s="36"/>
      <c r="B767" s="36"/>
    </row>
    <row r="768">
      <c r="A768" s="36"/>
      <c r="B768" s="36"/>
    </row>
    <row r="769">
      <c r="A769" s="36"/>
      <c r="B769" s="36"/>
    </row>
    <row r="770">
      <c r="A770" s="36"/>
      <c r="B770" s="36"/>
    </row>
    <row r="771">
      <c r="A771" s="36"/>
      <c r="B771" s="36"/>
    </row>
    <row r="772">
      <c r="A772" s="36"/>
      <c r="B772" s="36"/>
    </row>
    <row r="773">
      <c r="A773" s="36"/>
      <c r="B773" s="36"/>
    </row>
    <row r="774">
      <c r="A774" s="36"/>
      <c r="B774" s="36"/>
    </row>
    <row r="775">
      <c r="A775" s="36"/>
      <c r="B775" s="36"/>
    </row>
    <row r="776">
      <c r="A776" s="36"/>
      <c r="B776" s="36"/>
    </row>
    <row r="777">
      <c r="A777" s="36"/>
      <c r="B777" s="36"/>
    </row>
    <row r="778">
      <c r="A778" s="36"/>
      <c r="B778" s="36"/>
    </row>
    <row r="779">
      <c r="A779" s="36"/>
      <c r="B779" s="36"/>
    </row>
    <row r="780">
      <c r="A780" s="36"/>
      <c r="B780" s="36"/>
    </row>
    <row r="781">
      <c r="A781" s="36"/>
      <c r="B781" s="36"/>
    </row>
    <row r="782">
      <c r="A782" s="36"/>
      <c r="B782" s="36"/>
    </row>
    <row r="783">
      <c r="A783" s="36"/>
      <c r="B783" s="36"/>
    </row>
    <row r="784">
      <c r="A784" s="36"/>
      <c r="B784" s="36"/>
    </row>
    <row r="785">
      <c r="A785" s="36"/>
      <c r="B785" s="36"/>
    </row>
    <row r="786">
      <c r="A786" s="36"/>
      <c r="B786" s="36"/>
    </row>
    <row r="787">
      <c r="A787" s="36"/>
      <c r="B787" s="36"/>
    </row>
    <row r="788">
      <c r="A788" s="36"/>
      <c r="B788" s="36"/>
    </row>
    <row r="789">
      <c r="A789" s="36"/>
      <c r="B789" s="36"/>
    </row>
    <row r="790">
      <c r="A790" s="36"/>
      <c r="B790" s="36"/>
    </row>
    <row r="791">
      <c r="A791" s="36"/>
      <c r="B791" s="36"/>
    </row>
    <row r="792">
      <c r="A792" s="36"/>
      <c r="B792" s="36"/>
    </row>
    <row r="793">
      <c r="A793" s="36"/>
      <c r="B793" s="36"/>
    </row>
    <row r="794">
      <c r="A794" s="36"/>
      <c r="B794" s="36"/>
    </row>
    <row r="795">
      <c r="A795" s="36"/>
      <c r="B795" s="36"/>
    </row>
    <row r="796">
      <c r="A796" s="36"/>
      <c r="B796" s="36"/>
    </row>
    <row r="797">
      <c r="A797" s="36"/>
      <c r="B797" s="36"/>
    </row>
    <row r="798">
      <c r="A798" s="36"/>
      <c r="B798" s="36"/>
    </row>
    <row r="799">
      <c r="A799" s="36"/>
      <c r="B799" s="36"/>
    </row>
    <row r="800">
      <c r="A800" s="36"/>
      <c r="B800" s="36"/>
    </row>
    <row r="801">
      <c r="A801" s="36"/>
      <c r="B801" s="36"/>
    </row>
    <row r="802">
      <c r="A802" s="36"/>
      <c r="B802" s="36"/>
    </row>
    <row r="803">
      <c r="A803" s="36"/>
      <c r="B803" s="36"/>
    </row>
    <row r="804">
      <c r="A804" s="36"/>
      <c r="B804" s="36"/>
    </row>
    <row r="805">
      <c r="A805" s="36"/>
      <c r="B805" s="36"/>
    </row>
    <row r="806">
      <c r="A806" s="36"/>
      <c r="B806" s="36"/>
    </row>
    <row r="807">
      <c r="A807" s="36"/>
      <c r="B807" s="36"/>
    </row>
    <row r="808">
      <c r="A808" s="36"/>
      <c r="B808" s="36"/>
    </row>
    <row r="809">
      <c r="A809" s="36"/>
      <c r="B809" s="36"/>
    </row>
    <row r="810">
      <c r="A810" s="36"/>
      <c r="B810" s="36"/>
    </row>
    <row r="811">
      <c r="A811" s="36"/>
      <c r="B811" s="36"/>
    </row>
    <row r="812">
      <c r="A812" s="36"/>
      <c r="B812" s="36"/>
    </row>
    <row r="813">
      <c r="A813" s="36"/>
      <c r="B813" s="36"/>
    </row>
    <row r="814">
      <c r="A814" s="36"/>
      <c r="B814" s="36"/>
    </row>
    <row r="815">
      <c r="A815" s="36"/>
      <c r="B815" s="36"/>
    </row>
    <row r="816">
      <c r="A816" s="36"/>
      <c r="B816" s="36"/>
    </row>
    <row r="817">
      <c r="A817" s="36"/>
      <c r="B817" s="36"/>
    </row>
    <row r="818">
      <c r="A818" s="36"/>
      <c r="B818" s="36"/>
    </row>
    <row r="819">
      <c r="A819" s="36"/>
      <c r="B819" s="36"/>
    </row>
    <row r="820">
      <c r="A820" s="36"/>
      <c r="B820" s="36"/>
    </row>
    <row r="821">
      <c r="A821" s="36"/>
      <c r="B821" s="36"/>
    </row>
    <row r="822">
      <c r="A822" s="36"/>
      <c r="B822" s="36"/>
    </row>
    <row r="823">
      <c r="A823" s="36"/>
      <c r="B823" s="36"/>
    </row>
    <row r="824">
      <c r="A824" s="36"/>
      <c r="B824" s="36"/>
    </row>
    <row r="825">
      <c r="A825" s="36"/>
      <c r="B825" s="36"/>
    </row>
    <row r="826">
      <c r="A826" s="36"/>
      <c r="B826" s="36"/>
    </row>
    <row r="827">
      <c r="A827" s="36"/>
      <c r="B827" s="36"/>
    </row>
    <row r="828">
      <c r="A828" s="36"/>
      <c r="B828" s="36"/>
    </row>
    <row r="829">
      <c r="A829" s="36"/>
      <c r="B829" s="36"/>
    </row>
    <row r="830">
      <c r="A830" s="36"/>
      <c r="B830" s="36"/>
    </row>
    <row r="831">
      <c r="A831" s="36"/>
      <c r="B831" s="36"/>
    </row>
    <row r="832">
      <c r="A832" s="36"/>
      <c r="B832" s="36"/>
    </row>
    <row r="833">
      <c r="A833" s="36"/>
      <c r="B833" s="36"/>
    </row>
    <row r="834">
      <c r="A834" s="36"/>
      <c r="B834" s="36"/>
    </row>
    <row r="835">
      <c r="A835" s="36"/>
      <c r="B835" s="36"/>
    </row>
    <row r="836">
      <c r="A836" s="36"/>
      <c r="B836" s="36"/>
    </row>
    <row r="837">
      <c r="A837" s="36"/>
      <c r="B837" s="36"/>
    </row>
    <row r="838">
      <c r="A838" s="36"/>
      <c r="B838" s="36"/>
    </row>
    <row r="839">
      <c r="A839" s="36"/>
      <c r="B839" s="36"/>
    </row>
    <row r="840">
      <c r="A840" s="36"/>
      <c r="B840" s="36"/>
    </row>
    <row r="841">
      <c r="A841" s="36"/>
      <c r="B841" s="36"/>
    </row>
    <row r="842">
      <c r="A842" s="36"/>
      <c r="B842" s="36"/>
    </row>
    <row r="843">
      <c r="A843" s="36"/>
      <c r="B843" s="36"/>
    </row>
    <row r="844">
      <c r="A844" s="36"/>
      <c r="B844" s="36"/>
    </row>
    <row r="845">
      <c r="A845" s="36"/>
      <c r="B845" s="36"/>
    </row>
    <row r="846">
      <c r="A846" s="36"/>
      <c r="B846" s="36"/>
    </row>
    <row r="847">
      <c r="A847" s="36"/>
      <c r="B847" s="36"/>
    </row>
    <row r="848">
      <c r="A848" s="36"/>
      <c r="B848" s="36"/>
    </row>
    <row r="849">
      <c r="A849" s="36"/>
      <c r="B849" s="36"/>
    </row>
    <row r="850">
      <c r="A850" s="36"/>
      <c r="B850" s="36"/>
    </row>
    <row r="851">
      <c r="A851" s="36"/>
      <c r="B851" s="36"/>
    </row>
    <row r="852">
      <c r="A852" s="36"/>
      <c r="B852" s="36"/>
    </row>
    <row r="853">
      <c r="A853" s="36"/>
      <c r="B853" s="36"/>
    </row>
    <row r="854">
      <c r="A854" s="36"/>
      <c r="B854" s="36"/>
    </row>
    <row r="855">
      <c r="A855" s="36"/>
      <c r="B855" s="36"/>
    </row>
    <row r="856">
      <c r="A856" s="36"/>
      <c r="B856" s="36"/>
    </row>
    <row r="857">
      <c r="A857" s="36"/>
      <c r="B857" s="36"/>
    </row>
    <row r="858">
      <c r="A858" s="36"/>
      <c r="B858" s="36"/>
    </row>
    <row r="859">
      <c r="A859" s="36"/>
      <c r="B859" s="36"/>
    </row>
    <row r="860">
      <c r="A860" s="36"/>
      <c r="B860" s="36"/>
    </row>
    <row r="861">
      <c r="A861" s="36"/>
      <c r="B861" s="36"/>
    </row>
    <row r="862">
      <c r="A862" s="36"/>
      <c r="B862" s="36"/>
    </row>
    <row r="863">
      <c r="A863" s="36"/>
      <c r="B863" s="36"/>
    </row>
    <row r="864">
      <c r="A864" s="36"/>
      <c r="B864" s="36"/>
    </row>
    <row r="865">
      <c r="A865" s="36"/>
      <c r="B865" s="36"/>
    </row>
    <row r="866">
      <c r="A866" s="36"/>
      <c r="B866" s="36"/>
    </row>
    <row r="867">
      <c r="A867" s="36"/>
      <c r="B867" s="36"/>
    </row>
    <row r="868">
      <c r="A868" s="36"/>
      <c r="B868" s="36"/>
    </row>
    <row r="869">
      <c r="A869" s="36"/>
      <c r="B869" s="36"/>
    </row>
    <row r="870">
      <c r="A870" s="36"/>
      <c r="B870" s="36"/>
    </row>
    <row r="871">
      <c r="A871" s="36"/>
      <c r="B871" s="36"/>
    </row>
    <row r="872">
      <c r="A872" s="36"/>
      <c r="B872" s="36"/>
    </row>
    <row r="873">
      <c r="A873" s="36"/>
      <c r="B873" s="36"/>
    </row>
    <row r="874">
      <c r="A874" s="36"/>
      <c r="B874" s="36"/>
    </row>
    <row r="875">
      <c r="A875" s="36"/>
      <c r="B875" s="36"/>
    </row>
    <row r="876">
      <c r="A876" s="36"/>
      <c r="B876" s="36"/>
    </row>
    <row r="877">
      <c r="A877" s="36"/>
      <c r="B877" s="36"/>
    </row>
    <row r="878">
      <c r="A878" s="36"/>
      <c r="B878" s="36"/>
    </row>
    <row r="879">
      <c r="A879" s="36"/>
      <c r="B879" s="36"/>
    </row>
    <row r="880">
      <c r="A880" s="36"/>
      <c r="B880" s="36"/>
    </row>
    <row r="881">
      <c r="A881" s="36"/>
      <c r="B881" s="36"/>
    </row>
    <row r="882">
      <c r="A882" s="36"/>
      <c r="B882" s="36"/>
    </row>
    <row r="883">
      <c r="A883" s="36"/>
      <c r="B883" s="36"/>
    </row>
    <row r="884">
      <c r="A884" s="36"/>
      <c r="B884" s="36"/>
    </row>
    <row r="885">
      <c r="A885" s="36"/>
      <c r="B885" s="36"/>
    </row>
    <row r="886">
      <c r="A886" s="36"/>
      <c r="B886" s="36"/>
    </row>
    <row r="887">
      <c r="A887" s="36"/>
      <c r="B887" s="36"/>
    </row>
    <row r="888">
      <c r="A888" s="36"/>
      <c r="B888" s="36"/>
    </row>
    <row r="889">
      <c r="A889" s="36"/>
      <c r="B889" s="36"/>
    </row>
    <row r="890">
      <c r="A890" s="36"/>
      <c r="B890" s="36"/>
    </row>
    <row r="891">
      <c r="A891" s="36"/>
      <c r="B891" s="36"/>
    </row>
    <row r="892">
      <c r="A892" s="36"/>
      <c r="B892" s="36"/>
    </row>
    <row r="893">
      <c r="A893" s="36"/>
      <c r="B893" s="36"/>
    </row>
    <row r="894">
      <c r="A894" s="36"/>
      <c r="B894" s="36"/>
    </row>
    <row r="895">
      <c r="A895" s="36"/>
      <c r="B895" s="36"/>
    </row>
    <row r="896">
      <c r="A896" s="36"/>
      <c r="B896" s="36"/>
    </row>
    <row r="897">
      <c r="A897" s="36"/>
      <c r="B897" s="36"/>
    </row>
    <row r="898">
      <c r="A898" s="36"/>
      <c r="B898" s="36"/>
    </row>
    <row r="899">
      <c r="A899" s="36"/>
      <c r="B899" s="36"/>
    </row>
    <row r="900">
      <c r="A900" s="36"/>
      <c r="B900" s="36"/>
    </row>
    <row r="901">
      <c r="A901" s="36"/>
      <c r="B901" s="36"/>
    </row>
    <row r="902">
      <c r="A902" s="36"/>
      <c r="B902" s="36"/>
    </row>
    <row r="903">
      <c r="A903" s="36"/>
      <c r="B903" s="36"/>
    </row>
    <row r="904">
      <c r="A904" s="36"/>
      <c r="B904" s="36"/>
    </row>
    <row r="905">
      <c r="A905" s="36"/>
      <c r="B905" s="36"/>
    </row>
    <row r="906">
      <c r="A906" s="36"/>
      <c r="B906" s="36"/>
    </row>
    <row r="907">
      <c r="A907" s="36"/>
      <c r="B907" s="36"/>
    </row>
    <row r="908">
      <c r="A908" s="36"/>
      <c r="B908" s="36"/>
    </row>
    <row r="909">
      <c r="A909" s="36"/>
      <c r="B909" s="36"/>
    </row>
    <row r="910">
      <c r="A910" s="36"/>
      <c r="B910" s="36"/>
    </row>
    <row r="911">
      <c r="A911" s="36"/>
      <c r="B911" s="36"/>
    </row>
    <row r="912">
      <c r="A912" s="36"/>
      <c r="B912" s="36"/>
    </row>
    <row r="913">
      <c r="A913" s="36"/>
      <c r="B913" s="36"/>
    </row>
    <row r="914">
      <c r="A914" s="36"/>
      <c r="B914" s="36"/>
    </row>
    <row r="915">
      <c r="A915" s="36"/>
      <c r="B915" s="36"/>
    </row>
    <row r="916">
      <c r="A916" s="36"/>
      <c r="B916" s="36"/>
    </row>
    <row r="917">
      <c r="A917" s="36"/>
      <c r="B917" s="36"/>
    </row>
    <row r="918">
      <c r="A918" s="36"/>
      <c r="B918" s="36"/>
    </row>
    <row r="919">
      <c r="A919" s="36"/>
      <c r="B919" s="36"/>
    </row>
    <row r="920">
      <c r="A920" s="36"/>
      <c r="B920" s="36"/>
    </row>
    <row r="921">
      <c r="A921" s="36"/>
      <c r="B921" s="36"/>
    </row>
    <row r="922">
      <c r="A922" s="36"/>
      <c r="B922" s="36"/>
    </row>
    <row r="923">
      <c r="A923" s="36"/>
      <c r="B923" s="36"/>
    </row>
    <row r="924">
      <c r="A924" s="36"/>
      <c r="B924" s="36"/>
    </row>
    <row r="925">
      <c r="A925" s="36"/>
      <c r="B925" s="36"/>
    </row>
    <row r="926">
      <c r="A926" s="36"/>
      <c r="B926" s="36"/>
    </row>
    <row r="927">
      <c r="A927" s="36"/>
      <c r="B927" s="36"/>
    </row>
    <row r="928">
      <c r="A928" s="36"/>
      <c r="B928" s="36"/>
    </row>
    <row r="929">
      <c r="A929" s="36"/>
      <c r="B929" s="36"/>
    </row>
    <row r="930">
      <c r="A930" s="36"/>
      <c r="B930" s="36"/>
    </row>
    <row r="931">
      <c r="A931" s="36"/>
      <c r="B931" s="36"/>
    </row>
    <row r="932">
      <c r="A932" s="36"/>
      <c r="B932" s="36"/>
    </row>
    <row r="933">
      <c r="A933" s="36"/>
      <c r="B933" s="36"/>
    </row>
    <row r="934">
      <c r="A934" s="36"/>
      <c r="B934" s="36"/>
    </row>
    <row r="935">
      <c r="A935" s="36"/>
      <c r="B935" s="36"/>
    </row>
    <row r="936">
      <c r="A936" s="36"/>
      <c r="B936" s="36"/>
    </row>
    <row r="937">
      <c r="A937" s="36"/>
      <c r="B937" s="36"/>
    </row>
    <row r="938">
      <c r="A938" s="36"/>
      <c r="B938" s="36"/>
    </row>
    <row r="939">
      <c r="A939" s="36"/>
      <c r="B939" s="36"/>
    </row>
    <row r="940">
      <c r="A940" s="36"/>
      <c r="B940" s="36"/>
    </row>
    <row r="941">
      <c r="A941" s="36"/>
      <c r="B941" s="36"/>
    </row>
    <row r="942">
      <c r="A942" s="36"/>
      <c r="B942" s="36"/>
    </row>
    <row r="943">
      <c r="A943" s="36"/>
      <c r="B943" s="36"/>
    </row>
    <row r="944">
      <c r="A944" s="36"/>
      <c r="B944" s="36"/>
    </row>
    <row r="945">
      <c r="A945" s="36"/>
      <c r="B945" s="36"/>
    </row>
    <row r="946">
      <c r="A946" s="36"/>
      <c r="B946" s="36"/>
    </row>
    <row r="947">
      <c r="A947" s="36"/>
      <c r="B947" s="36"/>
    </row>
    <row r="948">
      <c r="A948" s="36"/>
      <c r="B948" s="36"/>
    </row>
    <row r="949">
      <c r="A949" s="36"/>
      <c r="B949" s="36"/>
    </row>
    <row r="950">
      <c r="A950" s="36"/>
      <c r="B950" s="36"/>
    </row>
    <row r="951">
      <c r="A951" s="36"/>
      <c r="B951" s="36"/>
    </row>
    <row r="952">
      <c r="A952" s="36"/>
      <c r="B952" s="36"/>
    </row>
    <row r="953">
      <c r="A953" s="36"/>
      <c r="B953" s="36"/>
    </row>
    <row r="954">
      <c r="A954" s="36"/>
      <c r="B954" s="36"/>
    </row>
    <row r="955">
      <c r="A955" s="36"/>
      <c r="B955" s="36"/>
    </row>
    <row r="956">
      <c r="A956" s="36"/>
      <c r="B956" s="36"/>
    </row>
    <row r="957">
      <c r="A957" s="36"/>
      <c r="B957" s="36"/>
    </row>
    <row r="958">
      <c r="A958" s="36"/>
      <c r="B958" s="36"/>
    </row>
    <row r="959">
      <c r="A959" s="36"/>
      <c r="B959" s="36"/>
    </row>
    <row r="960">
      <c r="A960" s="36"/>
      <c r="B960" s="36"/>
    </row>
    <row r="961">
      <c r="A961" s="36"/>
      <c r="B961" s="36"/>
    </row>
    <row r="962">
      <c r="A962" s="36"/>
      <c r="B962" s="36"/>
    </row>
    <row r="963">
      <c r="A963" s="36"/>
      <c r="B963" s="36"/>
    </row>
    <row r="964">
      <c r="A964" s="36"/>
      <c r="B964" s="36"/>
    </row>
    <row r="965">
      <c r="A965" s="36"/>
      <c r="B965" s="36"/>
    </row>
    <row r="966">
      <c r="A966" s="36"/>
      <c r="B966" s="36"/>
    </row>
    <row r="967">
      <c r="A967" s="36"/>
      <c r="B967" s="36"/>
    </row>
    <row r="968">
      <c r="A968" s="36"/>
      <c r="B968" s="36"/>
    </row>
    <row r="969">
      <c r="A969" s="36"/>
      <c r="B969" s="36"/>
    </row>
    <row r="970">
      <c r="A970" s="36"/>
      <c r="B970" s="36"/>
    </row>
    <row r="971">
      <c r="A971" s="36"/>
      <c r="B971" s="36"/>
    </row>
    <row r="972">
      <c r="A972" s="36"/>
      <c r="B972" s="36"/>
    </row>
    <row r="973">
      <c r="A973" s="36"/>
      <c r="B973" s="36"/>
    </row>
    <row r="974">
      <c r="A974" s="36"/>
      <c r="B974" s="36"/>
    </row>
    <row r="975">
      <c r="A975" s="36"/>
      <c r="B975" s="36"/>
    </row>
    <row r="976">
      <c r="A976" s="36"/>
      <c r="B976" s="36"/>
    </row>
    <row r="977">
      <c r="A977" s="36"/>
      <c r="B977" s="36"/>
    </row>
    <row r="978">
      <c r="A978" s="36"/>
      <c r="B978" s="36"/>
    </row>
    <row r="979">
      <c r="A979" s="36"/>
      <c r="B979" s="36"/>
    </row>
    <row r="980">
      <c r="A980" s="36"/>
      <c r="B980" s="36"/>
    </row>
    <row r="981">
      <c r="A981" s="36"/>
      <c r="B981" s="36"/>
    </row>
    <row r="982">
      <c r="A982" s="36"/>
      <c r="B982" s="36"/>
    </row>
    <row r="983">
      <c r="A983" s="36"/>
      <c r="B983" s="36"/>
    </row>
    <row r="984">
      <c r="A984" s="36"/>
      <c r="B984" s="36"/>
    </row>
    <row r="985">
      <c r="A985" s="36"/>
      <c r="B985" s="36"/>
    </row>
    <row r="986">
      <c r="A986" s="36"/>
      <c r="B986" s="36"/>
    </row>
    <row r="987">
      <c r="A987" s="36"/>
      <c r="B987" s="36"/>
    </row>
    <row r="988">
      <c r="A988" s="36"/>
      <c r="B988" s="36"/>
    </row>
    <row r="989">
      <c r="A989" s="36"/>
      <c r="B989" s="36"/>
    </row>
    <row r="990">
      <c r="A990" s="36"/>
      <c r="B990" s="36"/>
    </row>
    <row r="991">
      <c r="A991" s="36"/>
      <c r="B991" s="36"/>
    </row>
    <row r="992">
      <c r="A992" s="36"/>
      <c r="B992" s="36"/>
    </row>
    <row r="993">
      <c r="A993" s="36"/>
      <c r="B993" s="36"/>
    </row>
    <row r="994">
      <c r="A994" s="36"/>
      <c r="B994" s="36"/>
    </row>
    <row r="995">
      <c r="A995" s="36"/>
      <c r="B995" s="36"/>
    </row>
    <row r="996">
      <c r="A996" s="36"/>
      <c r="B996" s="36"/>
    </row>
    <row r="997">
      <c r="A997" s="36"/>
      <c r="B997" s="36"/>
    </row>
    <row r="998">
      <c r="A998" s="36"/>
      <c r="B998" s="36"/>
    </row>
    <row r="999">
      <c r="A999" s="36"/>
      <c r="B999" s="36"/>
    </row>
    <row r="1000">
      <c r="A1000" s="36"/>
      <c r="B1000" s="36"/>
    </row>
  </sheetData>
  <drawing r:id="rId1"/>
</worksheet>
</file>